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ma\Desktop\"/>
    </mc:Choice>
  </mc:AlternateContent>
  <xr:revisionPtr revIDLastSave="0" documentId="8_{95D63BE9-5AF4-4BC9-A08C-02C718955F65}" xr6:coauthVersionLast="47" xr6:coauthVersionMax="47" xr10:uidLastSave="{00000000-0000-0000-0000-000000000000}"/>
  <bookViews>
    <workbookView xWindow="-108" yWindow="-108" windowWidth="23256" windowHeight="13896" xr2:uid="{53A0C8C0-81D6-45E5-9DEC-A70EE4BD1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0" i="1" l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I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7" i="1"/>
  <c r="I237" i="1"/>
  <c r="K236" i="1"/>
  <c r="I236" i="1"/>
  <c r="K235" i="1"/>
  <c r="I235" i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I213" i="1"/>
  <c r="K212" i="1"/>
  <c r="I212" i="1"/>
  <c r="K211" i="1"/>
  <c r="I211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I203" i="1"/>
  <c r="K202" i="1"/>
  <c r="I202" i="1"/>
  <c r="K201" i="1"/>
  <c r="I201" i="1"/>
  <c r="K200" i="1"/>
  <c r="I200" i="1"/>
  <c r="K199" i="1"/>
  <c r="I199" i="1"/>
  <c r="K198" i="1"/>
  <c r="I198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9" i="1"/>
  <c r="I159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I68" i="1"/>
  <c r="K67" i="1"/>
  <c r="I67" i="1"/>
  <c r="K66" i="1"/>
  <c r="I66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53" i="1"/>
  <c r="I53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<sst xmlns="http://schemas.openxmlformats.org/spreadsheetml/2006/main" count="1173" uniqueCount="164">
  <si>
    <t>A15</t>
  </si>
  <si>
    <t>1 bedroom</t>
  </si>
  <si>
    <t>KC</t>
  </si>
  <si>
    <t>A16</t>
  </si>
  <si>
    <t>MW</t>
  </si>
  <si>
    <t>A7</t>
  </si>
  <si>
    <t>A3</t>
  </si>
  <si>
    <t>OW</t>
  </si>
  <si>
    <t>B32</t>
  </si>
  <si>
    <t>2 bedroom</t>
  </si>
  <si>
    <t>NB</t>
  </si>
  <si>
    <t>AJ2</t>
  </si>
  <si>
    <t>Jr 1 bedroom</t>
  </si>
  <si>
    <t>B20</t>
  </si>
  <si>
    <t>2 Bedroom</t>
  </si>
  <si>
    <t>A13</t>
  </si>
  <si>
    <t>Jr 1 Bedroom</t>
  </si>
  <si>
    <t>B31</t>
  </si>
  <si>
    <t>6/31/2028</t>
  </si>
  <si>
    <t>B21</t>
  </si>
  <si>
    <t>AJ1</t>
  </si>
  <si>
    <t>Junir 1 Bedroom</t>
  </si>
  <si>
    <t>B5</t>
  </si>
  <si>
    <t>B34</t>
  </si>
  <si>
    <t>AP6</t>
  </si>
  <si>
    <t>1 Bedroom + Den</t>
  </si>
  <si>
    <t>S4</t>
  </si>
  <si>
    <t>Studio</t>
  </si>
  <si>
    <t>S2</t>
  </si>
  <si>
    <t>S1</t>
  </si>
  <si>
    <t>A4</t>
  </si>
  <si>
    <t>1 Bedroom</t>
  </si>
  <si>
    <t>S3</t>
  </si>
  <si>
    <t>A12</t>
  </si>
  <si>
    <t>S7</t>
  </si>
  <si>
    <t>S6</t>
  </si>
  <si>
    <t>B8</t>
  </si>
  <si>
    <t>S23</t>
  </si>
  <si>
    <t>S25</t>
  </si>
  <si>
    <t>B26</t>
  </si>
  <si>
    <t>AJ4</t>
  </si>
  <si>
    <t>A21</t>
  </si>
  <si>
    <t>A24</t>
  </si>
  <si>
    <t>1 bedroom +</t>
  </si>
  <si>
    <t>A23</t>
  </si>
  <si>
    <t>AJ11</t>
  </si>
  <si>
    <t>B39</t>
  </si>
  <si>
    <t>B40</t>
  </si>
  <si>
    <t>AP2</t>
  </si>
  <si>
    <t>B12</t>
  </si>
  <si>
    <t>B27</t>
  </si>
  <si>
    <t>B16</t>
  </si>
  <si>
    <t>B25</t>
  </si>
  <si>
    <t>B2</t>
  </si>
  <si>
    <t>A5</t>
  </si>
  <si>
    <t>AJP1</t>
  </si>
  <si>
    <t>Jr One Bedroom +</t>
  </si>
  <si>
    <t>A8</t>
  </si>
  <si>
    <t>B7</t>
  </si>
  <si>
    <t>AM</t>
  </si>
  <si>
    <t>B10</t>
  </si>
  <si>
    <t>B23</t>
  </si>
  <si>
    <t>A22</t>
  </si>
  <si>
    <t>AJ8</t>
  </si>
  <si>
    <t>AP3</t>
  </si>
  <si>
    <t>B24</t>
  </si>
  <si>
    <t>S22</t>
  </si>
  <si>
    <t>Jr. 1 Bedroom</t>
  </si>
  <si>
    <t>A10</t>
  </si>
  <si>
    <t>GM</t>
  </si>
  <si>
    <t>AP1</t>
  </si>
  <si>
    <t>1 Bedroom +</t>
  </si>
  <si>
    <t>AJ6</t>
  </si>
  <si>
    <t>Junior 1 Bedroom</t>
  </si>
  <si>
    <t>B29</t>
  </si>
  <si>
    <t>AP7</t>
  </si>
  <si>
    <t>S19</t>
  </si>
  <si>
    <t>AP5</t>
  </si>
  <si>
    <t xml:space="preserve">S2 </t>
  </si>
  <si>
    <t>B1</t>
  </si>
  <si>
    <t>S20</t>
  </si>
  <si>
    <t>8/23/206</t>
  </si>
  <si>
    <t>AJ10</t>
  </si>
  <si>
    <t>A25</t>
  </si>
  <si>
    <t>8/1/8/2026</t>
  </si>
  <si>
    <t>A1</t>
  </si>
  <si>
    <t>A2</t>
  </si>
  <si>
    <t>8/310/2026</t>
  </si>
  <si>
    <t>Junior 1 Bedroom + Den</t>
  </si>
  <si>
    <t>B18</t>
  </si>
  <si>
    <t>B1PH</t>
  </si>
  <si>
    <t>A14</t>
  </si>
  <si>
    <t>B14PH</t>
  </si>
  <si>
    <t>A3PH</t>
  </si>
  <si>
    <t>A27</t>
  </si>
  <si>
    <t>A2PH</t>
  </si>
  <si>
    <t>B13PH</t>
  </si>
  <si>
    <t>A4PH</t>
  </si>
  <si>
    <t xml:space="preserve">1 bedroom </t>
  </si>
  <si>
    <t>C10PH</t>
  </si>
  <si>
    <t xml:space="preserve">3 bedroom </t>
  </si>
  <si>
    <t>B33</t>
  </si>
  <si>
    <t>A30</t>
  </si>
  <si>
    <t xml:space="preserve">1 Bedroom </t>
  </si>
  <si>
    <t>C5PH</t>
  </si>
  <si>
    <t>B3</t>
  </si>
  <si>
    <t>MN</t>
  </si>
  <si>
    <t>C8PH</t>
  </si>
  <si>
    <t>A17</t>
  </si>
  <si>
    <t>A19</t>
  </si>
  <si>
    <t>7/13/206</t>
  </si>
  <si>
    <t>AP1PH</t>
  </si>
  <si>
    <t>1 bedroom + Den</t>
  </si>
  <si>
    <t>A20</t>
  </si>
  <si>
    <t>C6PH</t>
  </si>
  <si>
    <t>B8PH</t>
  </si>
  <si>
    <t>B7PH</t>
  </si>
  <si>
    <t>C2PH</t>
  </si>
  <si>
    <t>B30</t>
  </si>
  <si>
    <t>B29A</t>
  </si>
  <si>
    <t>2 Bedroom -AFF</t>
  </si>
  <si>
    <t>A10A</t>
  </si>
  <si>
    <t>1 Bedroom - AFF</t>
  </si>
  <si>
    <t>S1A</t>
  </si>
  <si>
    <t>Studio - AFF</t>
  </si>
  <si>
    <t>S7A</t>
  </si>
  <si>
    <t>S6A</t>
  </si>
  <si>
    <t>S23A</t>
  </si>
  <si>
    <t>AJ8A</t>
  </si>
  <si>
    <t>AJ3A</t>
  </si>
  <si>
    <t>11/31/2026</t>
  </si>
  <si>
    <t>S2A</t>
  </si>
  <si>
    <t>A7A</t>
  </si>
  <si>
    <t>B1A</t>
  </si>
  <si>
    <t>2 Bedroom - AFF</t>
  </si>
  <si>
    <t>B16A</t>
  </si>
  <si>
    <t>B33A</t>
  </si>
  <si>
    <t>A8a</t>
  </si>
  <si>
    <t>B33a</t>
  </si>
  <si>
    <t>B2a</t>
  </si>
  <si>
    <t>B1a</t>
  </si>
  <si>
    <t>A2a</t>
  </si>
  <si>
    <t>C1a</t>
  </si>
  <si>
    <t>3 Bedroom - AFF</t>
  </si>
  <si>
    <t>B6a</t>
  </si>
  <si>
    <t>A10a</t>
  </si>
  <si>
    <t>A1A</t>
  </si>
  <si>
    <t xml:space="preserve">A9a </t>
  </si>
  <si>
    <t>A12a</t>
  </si>
  <si>
    <t>No</t>
  </si>
  <si>
    <t>Yes</t>
  </si>
  <si>
    <t>unit</t>
  </si>
  <si>
    <t>unitType</t>
  </si>
  <si>
    <t>description</t>
  </si>
  <si>
    <t>unitArea</t>
  </si>
  <si>
    <t>leaseStartDate</t>
  </si>
  <si>
    <t>leaseEndDate</t>
  </si>
  <si>
    <t>leaseTerm</t>
  </si>
  <si>
    <t>rent</t>
  </si>
  <si>
    <t>psf</t>
  </si>
  <si>
    <t>freeMonths</t>
  </si>
  <si>
    <t>netRent</t>
  </si>
  <si>
    <t>leasingAssociate</t>
  </si>
  <si>
    <t>affordable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</si>
</sst>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&quot;$&quot;#,##0"/>
    <numFmt numFmtId="165" formatCode="&quot;$&quot;#,##0.0"/>
  </numFmts>
  <fonts count="6">
    <font>
      <sz val="11"/>
      <color theme="1"/>
      <name val="Arial Narrow "/>
      <family val="2"/>
    </font>
    <font>
      <sz val="11"/>
      <color rgb="FF3F3F76"/>
      <name val="Arial Narrow "/>
      <family val="2"/>
    </font>
    <font>
      <b/>
      <sz val="10"/>
      <name val="Aptos Display"/>
      <family val="2"/>
      <scheme val="major"/>
    </font>
    <font>
      <sz val="8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name val="Arial Narrow 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7">
    <xf numFmtId="0" fontId="0" fillId="0" borderId="0" xfId="0"/>
    <xf numFmtId="0" fontId="4" fillId="0" borderId="0" xfId="0" applyFont="1"/>
    <xf numFmtId="14" fontId="2" fillId="0" borderId="2" xfId="1" applyNumberFormat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NumberFormat="1" applyFont="1" applyFill="1" applyBorder="1" applyAlignment="1" applyProtection="1">
      <alignment horizontal="center" vertical="center"/>
      <protection locked="0"/>
    </xf>
    <xf numFmtId="164" fontId="2" fillId="0" borderId="2" xfId="1" applyNumberFormat="1" applyFont="1" applyFill="1" applyBorder="1" applyAlignment="1" applyProtection="1">
      <alignment horizontal="center" vertical="center"/>
      <protection locked="0"/>
    </xf>
    <xf numFmtId="165" fontId="2" fillId="0" borderId="2" xfId="1" applyNumberFormat="1" applyFont="1" applyFill="1" applyBorder="1" applyAlignment="1" applyProtection="1">
      <alignment horizontal="center" vertical="center"/>
      <protection locked="0"/>
    </xf>
    <xf numFmtId="1" fontId="2" fillId="0" borderId="2" xfId="1" applyNumberFormat="1" applyFont="1" applyFill="1" applyBorder="1" applyAlignment="1">
      <alignment horizontal="center" vertical="center"/>
    </xf>
    <xf numFmtId="42" fontId="2" fillId="0" borderId="2" xfId="1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 applyProtection="1">
      <alignment horizontal="center" vertical="center"/>
      <protection locked="0"/>
    </xf>
    <xf numFmtId="164" fontId="3" fillId="0" borderId="2" xfId="0" applyNumberFormat="1" applyFont="1" applyFill="1" applyBorder="1" applyAlignment="1" applyProtection="1">
      <alignment horizontal="center" vertical="center"/>
      <protection locked="0"/>
    </xf>
    <xf numFmtId="165" fontId="3" fillId="0" borderId="2" xfId="0" applyNumberFormat="1" applyFont="1" applyFill="1" applyBorder="1" applyAlignment="1" applyProtection="1">
      <alignment horizontal="center" vertical="center"/>
      <protection locked="0"/>
    </xf>
    <xf numFmtId="2" fontId="3" fillId="0" borderId="2" xfId="0" applyNumberFormat="1" applyFont="1" applyFill="1" applyBorder="1" applyAlignment="1" applyProtection="1">
      <alignment horizontal="center" vertical="center"/>
      <protection locked="0"/>
    </xf>
    <xf numFmtId="42" fontId="3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/>
    <xf numFmtId="14" fontId="3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/>
  </cellXfs>
  <cellStyles count="2">
    <cellStyle name="Input" xfId="1" builtinId="20"/>
    <cellStyle name="Normal" xfId="0" builtinId="0"/>
  </cellStyles>
  <dxfs count="4">
    <dxf>
      <fill>
        <patternFill>
          <fgColor theme="0"/>
          <bgColor theme="0"/>
        </patternFill>
      </fill>
    </dxf>
    <dxf>
      <fill>
        <patternFill>
          <fgColor theme="0"/>
          <bgColor theme="0"/>
        </patternFill>
      </fill>
    </dxf>
    <dxf>
      <fill>
        <patternFill>
          <fgColor theme="0"/>
          <bgColor theme="0"/>
        </patternFill>
      </fill>
    </dxf>
    <dxf>
      <fill>
        <patternFill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C806-4AF4-4F34-9B68-33E81F428BFB}">
  <dimension ref="A1:Q290"/>
  <sheetViews>
    <sheetView tabSelected="1" workbookViewId="0">
      <selection activeCell="O8" sqref="O8"/>
    </sheetView>
  </sheetViews>
  <sheetFormatPr defaultRowHeight="14.4"/>
  <cols>
    <col min="1" max="2" width="8.796875" style="25"/>
    <col min="3" max="3" width="13.69921875" style="25" bestFit="1" customWidth="1"/>
    <col min="4" max="4" width="8.796875" style="25"/>
    <col min="5" max="5" width="12.19921875" style="25" bestFit="1" customWidth="1"/>
    <col min="6" max="6" width="11.19921875" style="26" bestFit="1" customWidth="1"/>
    <col min="7" max="7" width="8.59765625" style="25" bestFit="1" customWidth="1"/>
    <col min="8" max="8" width="8.796875" style="25"/>
    <col min="9" max="9" width="9.5" style="25" customWidth="1"/>
    <col min="10" max="10" width="21.19921875" style="25" customWidth="1"/>
    <col min="11" max="11" width="8.796875" style="25"/>
    <col min="12" max="12" width="13.3984375" style="25" bestFit="1" customWidth="1"/>
    <col min="13" max="13" width="8.8984375" style="25" bestFit="1" customWidth="1"/>
    <col min="14" max="17" width="8.796875" style="1"/>
  </cols>
  <sheetData>
    <row r="1" spans="1:17" s="12" customFormat="1" ht="13.8">
      <c r="A1" s="3" t="s">
        <v>151</v>
      </c>
      <c r="B1" s="4" t="s">
        <v>152</v>
      </c>
      <c r="C1" s="4" t="s">
        <v>153</v>
      </c>
      <c r="D1" s="4" t="s">
        <v>154</v>
      </c>
      <c r="E1" s="2" t="s">
        <v>155</v>
      </c>
      <c r="F1" s="2" t="s">
        <v>156</v>
      </c>
      <c r="G1" s="5" t="s">
        <v>157</v>
      </c>
      <c r="H1" s="6" t="s">
        <v>158</v>
      </c>
      <c r="I1" s="7" t="s">
        <v>159</v>
      </c>
      <c r="J1" s="8" t="s">
        <v>160</v>
      </c>
      <c r="K1" s="9" t="s">
        <v>161</v>
      </c>
      <c r="L1" s="3" t="s">
        <v>162</v>
      </c>
      <c r="M1" s="10" t="s">
        <v>163</v>
      </c>
      <c r="N1" s="11"/>
      <c r="O1" s="11"/>
      <c r="P1" s="11"/>
      <c r="Q1" s="11"/>
    </row>
    <row r="2" spans="1:17">
      <c r="A2" s="13">
        <v>129</v>
      </c>
      <c r="B2" s="13" t="s">
        <v>0</v>
      </c>
      <c r="C2" s="14" t="s">
        <v>1</v>
      </c>
      <c r="D2" s="15">
        <v>684</v>
      </c>
      <c r="E2" s="16">
        <v>45915</v>
      </c>
      <c r="F2" s="16">
        <v>46279</v>
      </c>
      <c r="G2" s="13">
        <v>12</v>
      </c>
      <c r="H2" s="17">
        <v>4270</v>
      </c>
      <c r="I2" s="18">
        <f>H2/D2</f>
        <v>6.242690058479532</v>
      </c>
      <c r="J2" s="19">
        <v>1</v>
      </c>
      <c r="K2" s="20">
        <f t="shared" ref="K2:K46" si="0">H2*SUM(G2-J2)/G2</f>
        <v>3914.1666666666665</v>
      </c>
      <c r="L2" s="13" t="s">
        <v>2</v>
      </c>
      <c r="M2" s="21" t="s">
        <v>149</v>
      </c>
    </row>
    <row r="3" spans="1:17">
      <c r="A3" s="13">
        <v>128</v>
      </c>
      <c r="B3" s="13" t="s">
        <v>3</v>
      </c>
      <c r="C3" s="14" t="s">
        <v>1</v>
      </c>
      <c r="D3" s="15">
        <v>684</v>
      </c>
      <c r="E3" s="16">
        <v>45908</v>
      </c>
      <c r="F3" s="16">
        <v>46272</v>
      </c>
      <c r="G3" s="13">
        <v>12</v>
      </c>
      <c r="H3" s="17">
        <v>4270</v>
      </c>
      <c r="I3" s="18">
        <f>H3/D3</f>
        <v>6.242690058479532</v>
      </c>
      <c r="J3" s="19">
        <v>1</v>
      </c>
      <c r="K3" s="20">
        <f t="shared" si="0"/>
        <v>3914.1666666666665</v>
      </c>
      <c r="L3" s="13" t="s">
        <v>4</v>
      </c>
      <c r="M3" s="21" t="s">
        <v>149</v>
      </c>
    </row>
    <row r="4" spans="1:17">
      <c r="A4" s="13">
        <v>126</v>
      </c>
      <c r="B4" s="13" t="s">
        <v>5</v>
      </c>
      <c r="C4" s="14" t="s">
        <v>1</v>
      </c>
      <c r="D4" s="15">
        <v>677</v>
      </c>
      <c r="E4" s="16">
        <v>45898</v>
      </c>
      <c r="F4" s="16">
        <v>46262</v>
      </c>
      <c r="G4" s="13">
        <v>12</v>
      </c>
      <c r="H4" s="17">
        <v>4270</v>
      </c>
      <c r="I4" s="18">
        <f>H4/D4</f>
        <v>6.307237813884786</v>
      </c>
      <c r="J4" s="19">
        <v>1</v>
      </c>
      <c r="K4" s="20">
        <f t="shared" si="0"/>
        <v>3914.1666666666665</v>
      </c>
      <c r="L4" s="13" t="s">
        <v>4</v>
      </c>
      <c r="M4" s="21" t="s">
        <v>149</v>
      </c>
    </row>
    <row r="5" spans="1:17">
      <c r="A5" s="13">
        <v>131</v>
      </c>
      <c r="B5" s="13" t="s">
        <v>6</v>
      </c>
      <c r="C5" s="14" t="s">
        <v>1</v>
      </c>
      <c r="D5" s="15">
        <v>632</v>
      </c>
      <c r="E5" s="16">
        <v>45536</v>
      </c>
      <c r="F5" s="16">
        <v>45900</v>
      </c>
      <c r="G5" s="13">
        <v>12</v>
      </c>
      <c r="H5" s="17">
        <v>4170</v>
      </c>
      <c r="I5" s="18">
        <f t="shared" ref="I5:I68" si="1">H5/D5</f>
        <v>6.5981012658227849</v>
      </c>
      <c r="J5" s="19">
        <v>0</v>
      </c>
      <c r="K5" s="20">
        <f t="shared" si="0"/>
        <v>4170</v>
      </c>
      <c r="L5" s="13" t="s">
        <v>7</v>
      </c>
      <c r="M5" s="21" t="s">
        <v>149</v>
      </c>
    </row>
    <row r="6" spans="1:17">
      <c r="A6" s="13">
        <v>136</v>
      </c>
      <c r="B6" s="13" t="s">
        <v>8</v>
      </c>
      <c r="C6" s="14" t="s">
        <v>9</v>
      </c>
      <c r="D6" s="15">
        <v>1204</v>
      </c>
      <c r="E6" s="16">
        <v>45835</v>
      </c>
      <c r="F6" s="16">
        <v>46229</v>
      </c>
      <c r="G6" s="13">
        <v>13</v>
      </c>
      <c r="H6" s="17">
        <v>6220</v>
      </c>
      <c r="I6" s="18">
        <f t="shared" si="1"/>
        <v>5.1661129568106317</v>
      </c>
      <c r="J6" s="19">
        <v>1</v>
      </c>
      <c r="K6" s="20">
        <f t="shared" si="0"/>
        <v>5741.5384615384619</v>
      </c>
      <c r="L6" s="13" t="s">
        <v>10</v>
      </c>
      <c r="M6" s="21" t="s">
        <v>149</v>
      </c>
    </row>
    <row r="7" spans="1:17">
      <c r="A7" s="13">
        <v>137</v>
      </c>
      <c r="B7" s="13" t="s">
        <v>11</v>
      </c>
      <c r="C7" s="14" t="s">
        <v>12</v>
      </c>
      <c r="D7" s="15">
        <v>667</v>
      </c>
      <c r="E7" s="16">
        <v>45603</v>
      </c>
      <c r="F7" s="16">
        <v>46513</v>
      </c>
      <c r="G7" s="13">
        <v>18</v>
      </c>
      <c r="H7" s="17">
        <v>3990</v>
      </c>
      <c r="I7" s="18">
        <f t="shared" si="1"/>
        <v>5.9820089955022491</v>
      </c>
      <c r="J7" s="19">
        <v>2</v>
      </c>
      <c r="K7" s="20">
        <f t="shared" si="0"/>
        <v>3546.6666666666665</v>
      </c>
      <c r="L7" s="13" t="s">
        <v>7</v>
      </c>
      <c r="M7" s="21" t="s">
        <v>149</v>
      </c>
    </row>
    <row r="8" spans="1:17">
      <c r="A8" s="13">
        <v>138</v>
      </c>
      <c r="B8" s="13" t="s">
        <v>13</v>
      </c>
      <c r="C8" s="14" t="s">
        <v>14</v>
      </c>
      <c r="D8" s="15">
        <v>1651</v>
      </c>
      <c r="E8" s="16">
        <v>45885</v>
      </c>
      <c r="F8" s="16">
        <v>46341</v>
      </c>
      <c r="G8" s="13">
        <v>15</v>
      </c>
      <c r="H8" s="17">
        <v>5910</v>
      </c>
      <c r="I8" s="18">
        <f t="shared" si="1"/>
        <v>3.5796486977589339</v>
      </c>
      <c r="J8" s="19">
        <v>1</v>
      </c>
      <c r="K8" s="20">
        <f t="shared" si="0"/>
        <v>5516</v>
      </c>
      <c r="L8" s="13" t="s">
        <v>10</v>
      </c>
      <c r="M8" s="21" t="s">
        <v>149</v>
      </c>
    </row>
    <row r="9" spans="1:17">
      <c r="A9" s="13">
        <v>141</v>
      </c>
      <c r="B9" s="13" t="s">
        <v>15</v>
      </c>
      <c r="C9" s="14" t="s">
        <v>16</v>
      </c>
      <c r="D9" s="15">
        <v>688</v>
      </c>
      <c r="E9" s="16">
        <v>45555</v>
      </c>
      <c r="F9" s="16">
        <v>45919</v>
      </c>
      <c r="G9" s="13">
        <v>12</v>
      </c>
      <c r="H9" s="17">
        <v>3990</v>
      </c>
      <c r="I9" s="18">
        <f t="shared" si="1"/>
        <v>5.7994186046511631</v>
      </c>
      <c r="J9" s="19">
        <v>1</v>
      </c>
      <c r="K9" s="20">
        <f t="shared" si="0"/>
        <v>3657.5</v>
      </c>
      <c r="L9" s="13" t="s">
        <v>10</v>
      </c>
      <c r="M9" s="21" t="s">
        <v>149</v>
      </c>
    </row>
    <row r="10" spans="1:17">
      <c r="A10" s="13">
        <v>143</v>
      </c>
      <c r="B10" s="13" t="s">
        <v>17</v>
      </c>
      <c r="C10" s="14" t="s">
        <v>9</v>
      </c>
      <c r="D10" s="15">
        <v>1195</v>
      </c>
      <c r="E10" s="16">
        <v>46053</v>
      </c>
      <c r="F10" s="16" t="s">
        <v>18</v>
      </c>
      <c r="G10" s="13">
        <v>17</v>
      </c>
      <c r="H10" s="17">
        <v>6220</v>
      </c>
      <c r="I10" s="18">
        <f t="shared" si="1"/>
        <v>5.2050209205020916</v>
      </c>
      <c r="J10" s="19">
        <v>1</v>
      </c>
      <c r="K10" s="20">
        <f t="shared" si="0"/>
        <v>5854.1176470588234</v>
      </c>
      <c r="L10" s="13" t="s">
        <v>7</v>
      </c>
      <c r="M10" s="21" t="s">
        <v>149</v>
      </c>
    </row>
    <row r="11" spans="1:17">
      <c r="A11" s="13">
        <v>147</v>
      </c>
      <c r="B11" s="13" t="s">
        <v>19</v>
      </c>
      <c r="C11" s="14" t="s">
        <v>14</v>
      </c>
      <c r="D11" s="15">
        <v>1041</v>
      </c>
      <c r="E11" s="16">
        <v>45870</v>
      </c>
      <c r="F11" s="16">
        <v>46234</v>
      </c>
      <c r="G11" s="13">
        <v>12</v>
      </c>
      <c r="H11" s="17">
        <v>5910</v>
      </c>
      <c r="I11" s="18">
        <f t="shared" si="1"/>
        <v>5.6772334293948123</v>
      </c>
      <c r="J11" s="19">
        <v>1</v>
      </c>
      <c r="K11" s="20">
        <f t="shared" si="0"/>
        <v>5417.5</v>
      </c>
      <c r="L11" s="13" t="s">
        <v>2</v>
      </c>
      <c r="M11" s="21" t="s">
        <v>149</v>
      </c>
    </row>
    <row r="12" spans="1:17">
      <c r="A12" s="13">
        <v>148</v>
      </c>
      <c r="B12" s="13" t="s">
        <v>20</v>
      </c>
      <c r="C12" s="14" t="s">
        <v>21</v>
      </c>
      <c r="D12" s="15">
        <v>666</v>
      </c>
      <c r="E12" s="16">
        <v>45840</v>
      </c>
      <c r="F12" s="16">
        <v>46204</v>
      </c>
      <c r="G12" s="13">
        <v>12</v>
      </c>
      <c r="H12" s="17">
        <v>4090</v>
      </c>
      <c r="I12" s="18">
        <f t="shared" si="1"/>
        <v>6.1411411411411407</v>
      </c>
      <c r="J12" s="19">
        <v>1</v>
      </c>
      <c r="K12" s="20">
        <f t="shared" si="0"/>
        <v>3749.1666666666665</v>
      </c>
      <c r="L12" s="13" t="s">
        <v>4</v>
      </c>
      <c r="M12" s="21" t="s">
        <v>149</v>
      </c>
    </row>
    <row r="13" spans="1:17">
      <c r="A13" s="13">
        <v>150</v>
      </c>
      <c r="B13" s="13" t="s">
        <v>22</v>
      </c>
      <c r="C13" s="14" t="s">
        <v>9</v>
      </c>
      <c r="D13" s="15">
        <v>932</v>
      </c>
      <c r="E13" s="16">
        <v>45884</v>
      </c>
      <c r="F13" s="16">
        <v>46248</v>
      </c>
      <c r="G13" s="13">
        <v>12</v>
      </c>
      <c r="H13" s="17">
        <v>5760</v>
      </c>
      <c r="I13" s="18">
        <f t="shared" si="1"/>
        <v>6.1802575107296134</v>
      </c>
      <c r="J13" s="19">
        <v>1</v>
      </c>
      <c r="K13" s="20">
        <f t="shared" ref="K13" si="2">H13*SUM(G13-J13)/G13</f>
        <v>5280</v>
      </c>
      <c r="L13" s="13" t="s">
        <v>10</v>
      </c>
      <c r="M13" s="21" t="s">
        <v>149</v>
      </c>
    </row>
    <row r="14" spans="1:17">
      <c r="A14" s="13">
        <v>151</v>
      </c>
      <c r="B14" s="13" t="s">
        <v>23</v>
      </c>
      <c r="C14" s="14" t="s">
        <v>9</v>
      </c>
      <c r="D14" s="15">
        <v>1209</v>
      </c>
      <c r="E14" s="16">
        <v>45838</v>
      </c>
      <c r="F14" s="16">
        <v>46171</v>
      </c>
      <c r="G14" s="13">
        <v>12</v>
      </c>
      <c r="H14" s="17">
        <v>6160</v>
      </c>
      <c r="I14" s="18">
        <f t="shared" si="1"/>
        <v>5.0951199338296114</v>
      </c>
      <c r="J14" s="19">
        <v>1</v>
      </c>
      <c r="K14" s="20">
        <f t="shared" si="0"/>
        <v>5646.666666666667</v>
      </c>
      <c r="L14" s="13" t="s">
        <v>10</v>
      </c>
      <c r="M14" s="21" t="s">
        <v>149</v>
      </c>
    </row>
    <row r="15" spans="1:17">
      <c r="A15" s="13">
        <v>202</v>
      </c>
      <c r="B15" s="13" t="s">
        <v>24</v>
      </c>
      <c r="C15" s="14" t="s">
        <v>25</v>
      </c>
      <c r="D15" s="15">
        <v>1034</v>
      </c>
      <c r="E15" s="16">
        <v>45778</v>
      </c>
      <c r="F15" s="16">
        <v>46142</v>
      </c>
      <c r="G15" s="13">
        <v>12</v>
      </c>
      <c r="H15" s="17">
        <v>4760</v>
      </c>
      <c r="I15" s="18">
        <f t="shared" si="1"/>
        <v>4.6034816247582206</v>
      </c>
      <c r="J15" s="19">
        <v>1</v>
      </c>
      <c r="K15" s="20">
        <f t="shared" si="0"/>
        <v>4363.333333333333</v>
      </c>
      <c r="L15" s="13" t="s">
        <v>2</v>
      </c>
      <c r="M15" s="21" t="s">
        <v>149</v>
      </c>
    </row>
    <row r="16" spans="1:17">
      <c r="A16" s="13">
        <v>203</v>
      </c>
      <c r="B16" s="13" t="s">
        <v>26</v>
      </c>
      <c r="C16" s="14" t="s">
        <v>27</v>
      </c>
      <c r="D16" s="15">
        <v>452</v>
      </c>
      <c r="E16" s="16">
        <v>45809</v>
      </c>
      <c r="F16" s="16">
        <v>46173</v>
      </c>
      <c r="G16" s="13">
        <v>12</v>
      </c>
      <c r="H16" s="17">
        <v>3200</v>
      </c>
      <c r="I16" s="18">
        <f t="shared" si="1"/>
        <v>7.0796460176991154</v>
      </c>
      <c r="J16" s="19">
        <v>1</v>
      </c>
      <c r="K16" s="20">
        <f t="shared" si="0"/>
        <v>2933.3333333333335</v>
      </c>
      <c r="L16" s="13" t="s">
        <v>2</v>
      </c>
      <c r="M16" s="21" t="s">
        <v>149</v>
      </c>
    </row>
    <row r="17" spans="1:13">
      <c r="A17" s="13">
        <v>204</v>
      </c>
      <c r="B17" s="13" t="s">
        <v>28</v>
      </c>
      <c r="C17" s="14" t="s">
        <v>27</v>
      </c>
      <c r="D17" s="15">
        <v>452</v>
      </c>
      <c r="E17" s="16">
        <v>45492</v>
      </c>
      <c r="F17" s="16">
        <v>46221</v>
      </c>
      <c r="G17" s="13">
        <v>12</v>
      </c>
      <c r="H17" s="17">
        <v>3200</v>
      </c>
      <c r="I17" s="18">
        <f t="shared" si="1"/>
        <v>7.0796460176991154</v>
      </c>
      <c r="J17" s="19">
        <v>1</v>
      </c>
      <c r="K17" s="20">
        <f t="shared" si="0"/>
        <v>2933.3333333333335</v>
      </c>
      <c r="L17" s="13" t="s">
        <v>10</v>
      </c>
      <c r="M17" s="21" t="s">
        <v>149</v>
      </c>
    </row>
    <row r="18" spans="1:13">
      <c r="A18" s="13">
        <v>205</v>
      </c>
      <c r="B18" s="13" t="s">
        <v>26</v>
      </c>
      <c r="C18" s="14" t="s">
        <v>27</v>
      </c>
      <c r="D18" s="15">
        <v>452</v>
      </c>
      <c r="E18" s="16">
        <v>45745</v>
      </c>
      <c r="F18" s="16">
        <v>46109</v>
      </c>
      <c r="G18" s="13">
        <v>12</v>
      </c>
      <c r="H18" s="17">
        <v>3200</v>
      </c>
      <c r="I18" s="18">
        <f t="shared" si="1"/>
        <v>7.0796460176991154</v>
      </c>
      <c r="J18" s="19">
        <v>1</v>
      </c>
      <c r="K18" s="20">
        <f t="shared" si="0"/>
        <v>2933.3333333333335</v>
      </c>
      <c r="L18" s="13" t="s">
        <v>10</v>
      </c>
      <c r="M18" s="21" t="s">
        <v>149</v>
      </c>
    </row>
    <row r="19" spans="1:13">
      <c r="A19" s="13">
        <v>206</v>
      </c>
      <c r="B19" s="13" t="s">
        <v>29</v>
      </c>
      <c r="C19" s="14" t="s">
        <v>27</v>
      </c>
      <c r="D19" s="15">
        <v>451</v>
      </c>
      <c r="E19" s="16">
        <v>45812</v>
      </c>
      <c r="F19" s="16">
        <v>46176</v>
      </c>
      <c r="G19" s="13">
        <v>18</v>
      </c>
      <c r="H19" s="17">
        <v>3250</v>
      </c>
      <c r="I19" s="18">
        <f t="shared" si="1"/>
        <v>7.2062084257206207</v>
      </c>
      <c r="J19" s="19">
        <v>1</v>
      </c>
      <c r="K19" s="20">
        <f t="shared" si="0"/>
        <v>3069.4444444444443</v>
      </c>
      <c r="L19" s="13" t="s">
        <v>2</v>
      </c>
      <c r="M19" s="21" t="s">
        <v>149</v>
      </c>
    </row>
    <row r="20" spans="1:13">
      <c r="A20" s="13">
        <v>207</v>
      </c>
      <c r="B20" s="13" t="s">
        <v>26</v>
      </c>
      <c r="C20" s="14" t="s">
        <v>27</v>
      </c>
      <c r="D20" s="15">
        <v>452</v>
      </c>
      <c r="E20" s="16">
        <v>45827</v>
      </c>
      <c r="F20" s="16">
        <v>46191</v>
      </c>
      <c r="G20" s="13">
        <v>12</v>
      </c>
      <c r="H20" s="17">
        <v>3200</v>
      </c>
      <c r="I20" s="18">
        <f t="shared" si="1"/>
        <v>7.0796460176991154</v>
      </c>
      <c r="J20" s="19">
        <v>1</v>
      </c>
      <c r="K20" s="20">
        <f t="shared" si="0"/>
        <v>2933.3333333333335</v>
      </c>
      <c r="L20" s="13" t="s">
        <v>10</v>
      </c>
      <c r="M20" s="21" t="s">
        <v>149</v>
      </c>
    </row>
    <row r="21" spans="1:13">
      <c r="A21" s="13">
        <v>208</v>
      </c>
      <c r="B21" s="13" t="s">
        <v>30</v>
      </c>
      <c r="C21" s="14" t="s">
        <v>31</v>
      </c>
      <c r="D21" s="15">
        <v>642</v>
      </c>
      <c r="E21" s="16">
        <v>45911</v>
      </c>
      <c r="F21" s="16">
        <v>46275</v>
      </c>
      <c r="G21" s="13">
        <v>12</v>
      </c>
      <c r="H21" s="17">
        <v>4030</v>
      </c>
      <c r="I21" s="18">
        <f t="shared" si="1"/>
        <v>6.2772585669781931</v>
      </c>
      <c r="J21" s="19">
        <v>1</v>
      </c>
      <c r="K21" s="20">
        <f t="shared" si="0"/>
        <v>3694.1666666666665</v>
      </c>
      <c r="L21" s="13" t="s">
        <v>2</v>
      </c>
      <c r="M21" s="21" t="s">
        <v>149</v>
      </c>
    </row>
    <row r="22" spans="1:13">
      <c r="A22" s="13">
        <v>210</v>
      </c>
      <c r="B22" s="13" t="s">
        <v>26</v>
      </c>
      <c r="C22" s="14" t="s">
        <v>27</v>
      </c>
      <c r="D22" s="15">
        <v>452</v>
      </c>
      <c r="E22" s="16">
        <v>45894</v>
      </c>
      <c r="F22" s="16">
        <v>46258</v>
      </c>
      <c r="G22" s="13">
        <v>12</v>
      </c>
      <c r="H22" s="17">
        <v>3250</v>
      </c>
      <c r="I22" s="18">
        <f t="shared" si="1"/>
        <v>7.1902654867256635</v>
      </c>
      <c r="J22" s="19">
        <v>1</v>
      </c>
      <c r="K22" s="20">
        <f t="shared" si="0"/>
        <v>2979.1666666666665</v>
      </c>
      <c r="L22" s="13" t="s">
        <v>10</v>
      </c>
      <c r="M22" s="21" t="s">
        <v>149</v>
      </c>
    </row>
    <row r="23" spans="1:13">
      <c r="A23" s="13">
        <v>211</v>
      </c>
      <c r="B23" s="13" t="s">
        <v>29</v>
      </c>
      <c r="C23" s="14" t="s">
        <v>27</v>
      </c>
      <c r="D23" s="15">
        <v>451</v>
      </c>
      <c r="E23" s="16">
        <v>45447</v>
      </c>
      <c r="F23" s="16">
        <v>45811</v>
      </c>
      <c r="G23" s="13">
        <v>12</v>
      </c>
      <c r="H23" s="17">
        <v>3250</v>
      </c>
      <c r="I23" s="18">
        <f t="shared" si="1"/>
        <v>7.2062084257206207</v>
      </c>
      <c r="J23" s="19">
        <v>1</v>
      </c>
      <c r="K23" s="20">
        <f t="shared" si="0"/>
        <v>2979.1666666666665</v>
      </c>
      <c r="L23" s="13" t="s">
        <v>2</v>
      </c>
      <c r="M23" s="21" t="s">
        <v>149</v>
      </c>
    </row>
    <row r="24" spans="1:13">
      <c r="A24" s="13">
        <v>220</v>
      </c>
      <c r="B24" s="13" t="s">
        <v>32</v>
      </c>
      <c r="C24" s="14" t="s">
        <v>27</v>
      </c>
      <c r="D24" s="15">
        <v>456</v>
      </c>
      <c r="E24" s="16">
        <v>45869</v>
      </c>
      <c r="F24" s="16">
        <v>46233</v>
      </c>
      <c r="G24" s="13">
        <v>12</v>
      </c>
      <c r="H24" s="17">
        <v>3250</v>
      </c>
      <c r="I24" s="18">
        <f t="shared" si="1"/>
        <v>7.1271929824561404</v>
      </c>
      <c r="J24" s="19">
        <v>1</v>
      </c>
      <c r="K24" s="20">
        <f t="shared" si="0"/>
        <v>2979.1666666666665</v>
      </c>
      <c r="L24" s="13" t="s">
        <v>2</v>
      </c>
      <c r="M24" s="21" t="s">
        <v>149</v>
      </c>
    </row>
    <row r="25" spans="1:13">
      <c r="A25" s="13">
        <v>222</v>
      </c>
      <c r="B25" s="13" t="s">
        <v>15</v>
      </c>
      <c r="C25" s="14" t="s">
        <v>31</v>
      </c>
      <c r="D25" s="15">
        <v>684</v>
      </c>
      <c r="E25" s="16">
        <v>45884</v>
      </c>
      <c r="F25" s="16">
        <v>46248</v>
      </c>
      <c r="G25" s="13">
        <v>12</v>
      </c>
      <c r="H25" s="17">
        <v>4230</v>
      </c>
      <c r="I25" s="18">
        <f t="shared" si="1"/>
        <v>6.1842105263157894</v>
      </c>
      <c r="J25" s="19">
        <v>1</v>
      </c>
      <c r="K25" s="20">
        <f t="shared" si="0"/>
        <v>3877.5</v>
      </c>
      <c r="L25" s="13" t="s">
        <v>2</v>
      </c>
      <c r="M25" s="21" t="s">
        <v>149</v>
      </c>
    </row>
    <row r="26" spans="1:13">
      <c r="A26" s="13">
        <v>223</v>
      </c>
      <c r="B26" s="13" t="s">
        <v>33</v>
      </c>
      <c r="C26" s="14" t="s">
        <v>1</v>
      </c>
      <c r="D26" s="15">
        <v>684</v>
      </c>
      <c r="E26" s="16">
        <v>45826</v>
      </c>
      <c r="F26" s="16">
        <v>46190</v>
      </c>
      <c r="G26" s="13">
        <v>12</v>
      </c>
      <c r="H26" s="17">
        <v>4230</v>
      </c>
      <c r="I26" s="18">
        <f t="shared" si="1"/>
        <v>6.1842105263157894</v>
      </c>
      <c r="J26" s="19">
        <v>1</v>
      </c>
      <c r="K26" s="20">
        <f t="shared" si="0"/>
        <v>3877.5</v>
      </c>
      <c r="L26" s="13" t="s">
        <v>10</v>
      </c>
      <c r="M26" s="21" t="s">
        <v>149</v>
      </c>
    </row>
    <row r="27" spans="1:13">
      <c r="A27" s="13">
        <v>225</v>
      </c>
      <c r="B27" s="13" t="s">
        <v>34</v>
      </c>
      <c r="C27" s="14" t="s">
        <v>27</v>
      </c>
      <c r="D27" s="15">
        <v>451</v>
      </c>
      <c r="E27" s="16">
        <v>45814</v>
      </c>
      <c r="F27" s="16">
        <v>46178</v>
      </c>
      <c r="G27" s="13">
        <v>12</v>
      </c>
      <c r="H27" s="17">
        <v>3300</v>
      </c>
      <c r="I27" s="18">
        <f t="shared" si="1"/>
        <v>7.3170731707317076</v>
      </c>
      <c r="J27" s="19">
        <v>1</v>
      </c>
      <c r="K27" s="20">
        <f t="shared" si="0"/>
        <v>3025</v>
      </c>
      <c r="L27" s="13" t="s">
        <v>2</v>
      </c>
      <c r="M27" s="21" t="s">
        <v>149</v>
      </c>
    </row>
    <row r="28" spans="1:13">
      <c r="A28" s="13">
        <v>226</v>
      </c>
      <c r="B28" s="13" t="s">
        <v>35</v>
      </c>
      <c r="C28" s="14" t="s">
        <v>27</v>
      </c>
      <c r="D28" s="15">
        <v>456</v>
      </c>
      <c r="E28" s="16">
        <v>45809</v>
      </c>
      <c r="F28" s="16">
        <v>46173</v>
      </c>
      <c r="G28" s="13">
        <v>12</v>
      </c>
      <c r="H28" s="17">
        <v>3300</v>
      </c>
      <c r="I28" s="18">
        <f t="shared" si="1"/>
        <v>7.2368421052631575</v>
      </c>
      <c r="J28" s="19">
        <v>1</v>
      </c>
      <c r="K28" s="20">
        <f t="shared" si="0"/>
        <v>3025</v>
      </c>
      <c r="L28" s="13" t="s">
        <v>10</v>
      </c>
      <c r="M28" s="21" t="s">
        <v>149</v>
      </c>
    </row>
    <row r="29" spans="1:13">
      <c r="A29" s="13">
        <v>227</v>
      </c>
      <c r="B29" s="13" t="s">
        <v>34</v>
      </c>
      <c r="C29" s="14" t="s">
        <v>27</v>
      </c>
      <c r="D29" s="15">
        <v>456</v>
      </c>
      <c r="E29" s="16">
        <v>45882</v>
      </c>
      <c r="F29" s="16">
        <v>46246</v>
      </c>
      <c r="G29" s="13">
        <v>12</v>
      </c>
      <c r="H29" s="17">
        <v>3300</v>
      </c>
      <c r="I29" s="18">
        <f t="shared" si="1"/>
        <v>7.2368421052631575</v>
      </c>
      <c r="J29" s="19">
        <v>1</v>
      </c>
      <c r="K29" s="20">
        <f t="shared" si="0"/>
        <v>3025</v>
      </c>
      <c r="L29" s="13" t="s">
        <v>10</v>
      </c>
      <c r="M29" s="21" t="s">
        <v>149</v>
      </c>
    </row>
    <row r="30" spans="1:13">
      <c r="A30" s="13">
        <v>229</v>
      </c>
      <c r="B30" s="13" t="s">
        <v>34</v>
      </c>
      <c r="C30" s="14" t="s">
        <v>27</v>
      </c>
      <c r="D30" s="15">
        <v>456</v>
      </c>
      <c r="E30" s="16">
        <v>45868</v>
      </c>
      <c r="F30" s="16">
        <v>46232</v>
      </c>
      <c r="G30" s="13">
        <v>12</v>
      </c>
      <c r="H30" s="17">
        <v>3300</v>
      </c>
      <c r="I30" s="18">
        <f t="shared" si="1"/>
        <v>7.2368421052631575</v>
      </c>
      <c r="J30" s="19">
        <v>1</v>
      </c>
      <c r="K30" s="20">
        <f t="shared" si="0"/>
        <v>3025</v>
      </c>
      <c r="L30" s="13" t="s">
        <v>10</v>
      </c>
      <c r="M30" s="21" t="s">
        <v>149</v>
      </c>
    </row>
    <row r="31" spans="1:13">
      <c r="A31" s="13">
        <v>230</v>
      </c>
      <c r="B31" s="13" t="s">
        <v>35</v>
      </c>
      <c r="C31" s="14" t="s">
        <v>27</v>
      </c>
      <c r="D31" s="15">
        <v>452</v>
      </c>
      <c r="E31" s="16">
        <v>45838</v>
      </c>
      <c r="F31" s="16">
        <v>46202</v>
      </c>
      <c r="G31" s="13">
        <v>12</v>
      </c>
      <c r="H31" s="17">
        <v>3300</v>
      </c>
      <c r="I31" s="18">
        <f t="shared" si="1"/>
        <v>7.3008849557522124</v>
      </c>
      <c r="J31" s="19">
        <v>1</v>
      </c>
      <c r="K31" s="20">
        <f t="shared" si="0"/>
        <v>3025</v>
      </c>
      <c r="L31" s="13" t="s">
        <v>10</v>
      </c>
      <c r="M31" s="21" t="s">
        <v>149</v>
      </c>
    </row>
    <row r="32" spans="1:13">
      <c r="A32" s="13">
        <v>232</v>
      </c>
      <c r="B32" s="13" t="s">
        <v>36</v>
      </c>
      <c r="C32" s="14" t="s">
        <v>9</v>
      </c>
      <c r="D32" s="15">
        <v>958</v>
      </c>
      <c r="E32" s="16">
        <v>45886</v>
      </c>
      <c r="F32" s="16">
        <v>46250</v>
      </c>
      <c r="G32" s="13">
        <v>12</v>
      </c>
      <c r="H32" s="17">
        <v>5750</v>
      </c>
      <c r="I32" s="18">
        <f t="shared" si="1"/>
        <v>6.0020876826722338</v>
      </c>
      <c r="J32" s="19">
        <v>1</v>
      </c>
      <c r="K32" s="20">
        <f t="shared" si="0"/>
        <v>5270.833333333333</v>
      </c>
      <c r="L32" s="13" t="s">
        <v>2</v>
      </c>
      <c r="M32" s="21" t="s">
        <v>149</v>
      </c>
    </row>
    <row r="33" spans="1:13">
      <c r="A33" s="13">
        <v>233</v>
      </c>
      <c r="B33" s="13" t="s">
        <v>37</v>
      </c>
      <c r="C33" s="14" t="s">
        <v>27</v>
      </c>
      <c r="D33" s="15">
        <v>509</v>
      </c>
      <c r="E33" s="16">
        <v>45892</v>
      </c>
      <c r="F33" s="16">
        <v>46256</v>
      </c>
      <c r="G33" s="13">
        <v>12</v>
      </c>
      <c r="H33" s="17">
        <v>3300</v>
      </c>
      <c r="I33" s="18">
        <f t="shared" si="1"/>
        <v>6.4833005893909625</v>
      </c>
      <c r="J33" s="19">
        <v>1</v>
      </c>
      <c r="K33" s="20">
        <f t="shared" si="0"/>
        <v>3025</v>
      </c>
      <c r="L33" s="13" t="s">
        <v>2</v>
      </c>
      <c r="M33" s="21" t="s">
        <v>149</v>
      </c>
    </row>
    <row r="34" spans="1:13">
      <c r="A34" s="13">
        <v>234</v>
      </c>
      <c r="B34" s="13" t="s">
        <v>38</v>
      </c>
      <c r="C34" s="14" t="s">
        <v>27</v>
      </c>
      <c r="D34" s="15">
        <v>511</v>
      </c>
      <c r="E34" s="16">
        <v>45884</v>
      </c>
      <c r="F34" s="16">
        <v>46248</v>
      </c>
      <c r="G34" s="13">
        <v>12</v>
      </c>
      <c r="H34" s="17">
        <v>3300</v>
      </c>
      <c r="I34" s="18">
        <f t="shared" si="1"/>
        <v>6.4579256360078281</v>
      </c>
      <c r="J34" s="19">
        <v>1</v>
      </c>
      <c r="K34" s="20">
        <f t="shared" si="0"/>
        <v>3025</v>
      </c>
      <c r="L34" s="13" t="s">
        <v>10</v>
      </c>
      <c r="M34" s="21" t="s">
        <v>149</v>
      </c>
    </row>
    <row r="35" spans="1:13">
      <c r="A35" s="13">
        <v>236</v>
      </c>
      <c r="B35" s="13" t="s">
        <v>39</v>
      </c>
      <c r="C35" s="14" t="s">
        <v>14</v>
      </c>
      <c r="D35" s="15">
        <v>1159</v>
      </c>
      <c r="E35" s="16">
        <v>45869</v>
      </c>
      <c r="F35" s="16">
        <v>46233</v>
      </c>
      <c r="G35" s="13">
        <v>12</v>
      </c>
      <c r="H35" s="17">
        <v>6310</v>
      </c>
      <c r="I35" s="18">
        <f t="shared" si="1"/>
        <v>5.4443485763589301</v>
      </c>
      <c r="J35" s="19">
        <v>1</v>
      </c>
      <c r="K35" s="20">
        <f t="shared" si="0"/>
        <v>5784.166666666667</v>
      </c>
      <c r="L35" s="13" t="s">
        <v>10</v>
      </c>
      <c r="M35" s="21" t="s">
        <v>149</v>
      </c>
    </row>
    <row r="36" spans="1:13">
      <c r="A36" s="13">
        <v>237</v>
      </c>
      <c r="B36" s="13" t="s">
        <v>40</v>
      </c>
      <c r="C36" s="14" t="s">
        <v>31</v>
      </c>
      <c r="D36" s="15">
        <v>685</v>
      </c>
      <c r="E36" s="16">
        <v>45840</v>
      </c>
      <c r="F36" s="16">
        <v>46204</v>
      </c>
      <c r="G36" s="13">
        <v>12</v>
      </c>
      <c r="H36" s="17">
        <v>4250</v>
      </c>
      <c r="I36" s="18">
        <f t="shared" si="1"/>
        <v>6.2043795620437958</v>
      </c>
      <c r="J36" s="19">
        <v>1</v>
      </c>
      <c r="K36" s="20">
        <f t="shared" si="0"/>
        <v>3895.8333333333335</v>
      </c>
      <c r="L36" s="13" t="s">
        <v>2</v>
      </c>
      <c r="M36" s="21" t="s">
        <v>149</v>
      </c>
    </row>
    <row r="37" spans="1:13">
      <c r="A37" s="13">
        <v>238</v>
      </c>
      <c r="B37" s="13" t="s">
        <v>41</v>
      </c>
      <c r="C37" s="14" t="s">
        <v>1</v>
      </c>
      <c r="D37" s="15">
        <v>768</v>
      </c>
      <c r="E37" s="16">
        <v>45853</v>
      </c>
      <c r="F37" s="16">
        <v>46217</v>
      </c>
      <c r="G37" s="13">
        <v>12</v>
      </c>
      <c r="H37" s="17">
        <v>4410</v>
      </c>
      <c r="I37" s="18">
        <f t="shared" si="1"/>
        <v>5.7421875</v>
      </c>
      <c r="J37" s="19">
        <v>1</v>
      </c>
      <c r="K37" s="20">
        <f t="shared" si="0"/>
        <v>4042.5</v>
      </c>
      <c r="L37" s="13" t="s">
        <v>10</v>
      </c>
      <c r="M37" s="21" t="s">
        <v>149</v>
      </c>
    </row>
    <row r="38" spans="1:13">
      <c r="A38" s="13">
        <v>239</v>
      </c>
      <c r="B38" s="13" t="s">
        <v>42</v>
      </c>
      <c r="C38" s="14" t="s">
        <v>43</v>
      </c>
      <c r="D38" s="15">
        <v>841</v>
      </c>
      <c r="E38" s="16">
        <v>45985</v>
      </c>
      <c r="F38" s="16">
        <v>46349</v>
      </c>
      <c r="G38" s="13">
        <v>12</v>
      </c>
      <c r="H38" s="17">
        <v>4790</v>
      </c>
      <c r="I38" s="18">
        <f t="shared" si="1"/>
        <v>5.6956004756242571</v>
      </c>
      <c r="J38" s="19">
        <v>0</v>
      </c>
      <c r="K38" s="20">
        <f t="shared" si="0"/>
        <v>4790</v>
      </c>
      <c r="L38" s="13" t="s">
        <v>10</v>
      </c>
      <c r="M38" s="21" t="s">
        <v>149</v>
      </c>
    </row>
    <row r="39" spans="1:13">
      <c r="A39" s="13">
        <v>240</v>
      </c>
      <c r="B39" s="13" t="s">
        <v>44</v>
      </c>
      <c r="C39" s="14" t="s">
        <v>31</v>
      </c>
      <c r="D39" s="15">
        <v>770</v>
      </c>
      <c r="E39" s="16">
        <v>45869</v>
      </c>
      <c r="F39" s="16">
        <v>46233</v>
      </c>
      <c r="G39" s="13">
        <v>12</v>
      </c>
      <c r="H39" s="17">
        <v>4375</v>
      </c>
      <c r="I39" s="18">
        <f t="shared" si="1"/>
        <v>5.6818181818181817</v>
      </c>
      <c r="J39" s="19">
        <v>1</v>
      </c>
      <c r="K39" s="20">
        <f t="shared" si="0"/>
        <v>4010.4166666666665</v>
      </c>
      <c r="L39" s="13" t="s">
        <v>2</v>
      </c>
      <c r="M39" s="21" t="s">
        <v>149</v>
      </c>
    </row>
    <row r="40" spans="1:13">
      <c r="A40" s="13">
        <v>241</v>
      </c>
      <c r="B40" s="13" t="s">
        <v>45</v>
      </c>
      <c r="C40" s="14" t="s">
        <v>16</v>
      </c>
      <c r="D40" s="15">
        <v>707</v>
      </c>
      <c r="E40" s="16">
        <v>45604</v>
      </c>
      <c r="F40" s="16">
        <v>46514</v>
      </c>
      <c r="G40" s="13">
        <v>30</v>
      </c>
      <c r="H40" s="17">
        <v>3980</v>
      </c>
      <c r="I40" s="18">
        <f t="shared" si="1"/>
        <v>5.6294200848656297</v>
      </c>
      <c r="J40" s="19">
        <v>2</v>
      </c>
      <c r="K40" s="20">
        <f t="shared" si="0"/>
        <v>3714.6666666666665</v>
      </c>
      <c r="L40" s="13" t="s">
        <v>7</v>
      </c>
      <c r="M40" s="21" t="s">
        <v>149</v>
      </c>
    </row>
    <row r="41" spans="1:13">
      <c r="A41" s="13">
        <v>242</v>
      </c>
      <c r="B41" s="13" t="s">
        <v>46</v>
      </c>
      <c r="C41" s="14" t="s">
        <v>9</v>
      </c>
      <c r="D41" s="15">
        <v>1228</v>
      </c>
      <c r="E41" s="16">
        <v>45823</v>
      </c>
      <c r="F41" s="16">
        <v>46217</v>
      </c>
      <c r="G41" s="13">
        <v>13</v>
      </c>
      <c r="H41" s="17">
        <v>6210</v>
      </c>
      <c r="I41" s="18">
        <f t="shared" si="1"/>
        <v>5.05700325732899</v>
      </c>
      <c r="J41" s="19">
        <v>1</v>
      </c>
      <c r="K41" s="20">
        <f t="shared" si="0"/>
        <v>5732.3076923076924</v>
      </c>
      <c r="L41" s="13" t="s">
        <v>2</v>
      </c>
      <c r="M41" s="21" t="s">
        <v>149</v>
      </c>
    </row>
    <row r="42" spans="1:13">
      <c r="A42" s="13">
        <v>243</v>
      </c>
      <c r="B42" s="13" t="s">
        <v>47</v>
      </c>
      <c r="C42" s="14" t="s">
        <v>14</v>
      </c>
      <c r="D42" s="15">
        <v>1228</v>
      </c>
      <c r="E42" s="16">
        <v>45745</v>
      </c>
      <c r="F42" s="16">
        <v>46293</v>
      </c>
      <c r="G42" s="13">
        <v>6</v>
      </c>
      <c r="H42" s="17">
        <v>6310</v>
      </c>
      <c r="I42" s="18">
        <f t="shared" si="1"/>
        <v>5.1384364820846908</v>
      </c>
      <c r="J42" s="19">
        <v>0</v>
      </c>
      <c r="K42" s="20">
        <f t="shared" si="0"/>
        <v>6310</v>
      </c>
      <c r="L42" s="13" t="s">
        <v>2</v>
      </c>
      <c r="M42" s="21" t="s">
        <v>149</v>
      </c>
    </row>
    <row r="43" spans="1:13">
      <c r="A43" s="13">
        <v>246</v>
      </c>
      <c r="B43" s="13" t="s">
        <v>48</v>
      </c>
      <c r="C43" s="14" t="s">
        <v>25</v>
      </c>
      <c r="D43" s="15">
        <v>841</v>
      </c>
      <c r="E43" s="16">
        <v>45747</v>
      </c>
      <c r="F43" s="16">
        <v>46111</v>
      </c>
      <c r="G43" s="13">
        <v>12</v>
      </c>
      <c r="H43" s="17">
        <v>4660</v>
      </c>
      <c r="I43" s="18">
        <f t="shared" si="1"/>
        <v>5.5410225921522001</v>
      </c>
      <c r="J43" s="19">
        <v>1</v>
      </c>
      <c r="K43" s="20">
        <f t="shared" si="0"/>
        <v>4271.666666666667</v>
      </c>
      <c r="L43" s="13" t="s">
        <v>10</v>
      </c>
      <c r="M43" s="21" t="s">
        <v>149</v>
      </c>
    </row>
    <row r="44" spans="1:13">
      <c r="A44" s="13">
        <v>247</v>
      </c>
      <c r="B44" s="13" t="s">
        <v>44</v>
      </c>
      <c r="C44" s="14" t="s">
        <v>31</v>
      </c>
      <c r="D44" s="15">
        <v>770</v>
      </c>
      <c r="E44" s="16">
        <v>45621</v>
      </c>
      <c r="F44" s="16">
        <v>46501</v>
      </c>
      <c r="G44" s="13">
        <v>29</v>
      </c>
      <c r="H44" s="17">
        <v>4375</v>
      </c>
      <c r="I44" s="18">
        <f t="shared" si="1"/>
        <v>5.6818181818181817</v>
      </c>
      <c r="J44" s="19">
        <v>2</v>
      </c>
      <c r="K44" s="20">
        <f t="shared" si="0"/>
        <v>4073.2758620689656</v>
      </c>
      <c r="L44" s="13" t="s">
        <v>7</v>
      </c>
      <c r="M44" s="21" t="s">
        <v>149</v>
      </c>
    </row>
    <row r="45" spans="1:13">
      <c r="A45" s="13">
        <v>248</v>
      </c>
      <c r="B45" s="13" t="s">
        <v>33</v>
      </c>
      <c r="C45" s="14" t="s">
        <v>16</v>
      </c>
      <c r="D45" s="15">
        <v>686</v>
      </c>
      <c r="E45" s="16">
        <v>45621</v>
      </c>
      <c r="F45" s="16">
        <v>46501</v>
      </c>
      <c r="G45" s="13">
        <v>29</v>
      </c>
      <c r="H45" s="17">
        <v>3980</v>
      </c>
      <c r="I45" s="18">
        <f t="shared" si="1"/>
        <v>5.8017492711370267</v>
      </c>
      <c r="J45" s="19">
        <v>2</v>
      </c>
      <c r="K45" s="20">
        <f t="shared" si="0"/>
        <v>3705.5172413793102</v>
      </c>
      <c r="L45" s="13" t="s">
        <v>7</v>
      </c>
      <c r="M45" s="21" t="s">
        <v>149</v>
      </c>
    </row>
    <row r="46" spans="1:13">
      <c r="A46" s="13">
        <v>250</v>
      </c>
      <c r="B46" s="13" t="s">
        <v>49</v>
      </c>
      <c r="C46" s="14" t="s">
        <v>14</v>
      </c>
      <c r="D46" s="15">
        <v>974</v>
      </c>
      <c r="E46" s="16">
        <v>45597</v>
      </c>
      <c r="F46" s="16">
        <v>46507</v>
      </c>
      <c r="G46" s="13">
        <v>30</v>
      </c>
      <c r="H46" s="17">
        <v>5950</v>
      </c>
      <c r="I46" s="18">
        <f t="shared" si="1"/>
        <v>6.1088295687885008</v>
      </c>
      <c r="J46" s="19">
        <v>2</v>
      </c>
      <c r="K46" s="20">
        <f t="shared" si="0"/>
        <v>5553.333333333333</v>
      </c>
      <c r="L46" s="13" t="s">
        <v>7</v>
      </c>
      <c r="M46" s="21" t="s">
        <v>149</v>
      </c>
    </row>
    <row r="47" spans="1:13">
      <c r="A47" s="13">
        <v>252</v>
      </c>
      <c r="B47" s="13" t="s">
        <v>50</v>
      </c>
      <c r="C47" s="14" t="s">
        <v>14</v>
      </c>
      <c r="D47" s="15">
        <v>1170</v>
      </c>
      <c r="E47" s="16">
        <v>45848</v>
      </c>
      <c r="F47" s="16">
        <v>46212</v>
      </c>
      <c r="G47" s="13">
        <v>12</v>
      </c>
      <c r="H47" s="17">
        <v>6250</v>
      </c>
      <c r="I47" s="18">
        <f t="shared" si="1"/>
        <v>5.3418803418803416</v>
      </c>
      <c r="J47" s="19">
        <v>1</v>
      </c>
      <c r="K47" s="20">
        <f t="shared" ref="K47:K85" si="3">H47*SUM(G47-J47)/G47</f>
        <v>5729.166666666667</v>
      </c>
      <c r="L47" s="13" t="s">
        <v>10</v>
      </c>
      <c r="M47" s="21" t="s">
        <v>149</v>
      </c>
    </row>
    <row r="48" spans="1:13">
      <c r="A48" s="13">
        <v>256</v>
      </c>
      <c r="B48" s="13" t="s">
        <v>51</v>
      </c>
      <c r="C48" s="14" t="s">
        <v>14</v>
      </c>
      <c r="D48" s="15">
        <v>982</v>
      </c>
      <c r="E48" s="16">
        <v>45899</v>
      </c>
      <c r="F48" s="16">
        <v>46263</v>
      </c>
      <c r="G48" s="13">
        <v>12</v>
      </c>
      <c r="H48" s="17">
        <v>5830</v>
      </c>
      <c r="I48" s="18">
        <f t="shared" si="1"/>
        <v>5.9368635437881876</v>
      </c>
      <c r="J48" s="19">
        <v>1</v>
      </c>
      <c r="K48" s="20">
        <f t="shared" si="3"/>
        <v>5344.166666666667</v>
      </c>
      <c r="L48" s="13" t="s">
        <v>2</v>
      </c>
      <c r="M48" s="21" t="s">
        <v>149</v>
      </c>
    </row>
    <row r="49" spans="1:13">
      <c r="A49" s="13">
        <v>301</v>
      </c>
      <c r="B49" s="13" t="s">
        <v>52</v>
      </c>
      <c r="C49" s="14" t="s">
        <v>14</v>
      </c>
      <c r="D49" s="15">
        <v>1056</v>
      </c>
      <c r="E49" s="16">
        <v>45748</v>
      </c>
      <c r="F49" s="16">
        <v>46112</v>
      </c>
      <c r="G49" s="13">
        <v>12</v>
      </c>
      <c r="H49" s="17">
        <v>6020</v>
      </c>
      <c r="I49" s="18">
        <f t="shared" si="1"/>
        <v>5.7007575757575761</v>
      </c>
      <c r="J49" s="19">
        <v>1</v>
      </c>
      <c r="K49" s="20">
        <f t="shared" si="3"/>
        <v>5518.333333333333</v>
      </c>
      <c r="L49" s="13" t="s">
        <v>2</v>
      </c>
      <c r="M49" s="21" t="s">
        <v>149</v>
      </c>
    </row>
    <row r="50" spans="1:13">
      <c r="A50" s="13">
        <v>302</v>
      </c>
      <c r="B50" s="13" t="s">
        <v>26</v>
      </c>
      <c r="C50" s="14" t="s">
        <v>27</v>
      </c>
      <c r="D50" s="15">
        <v>452</v>
      </c>
      <c r="E50" s="16">
        <v>45779</v>
      </c>
      <c r="F50" s="16">
        <v>46143</v>
      </c>
      <c r="G50" s="13">
        <v>12</v>
      </c>
      <c r="H50" s="17">
        <v>3250</v>
      </c>
      <c r="I50" s="18">
        <f t="shared" si="1"/>
        <v>7.1902654867256635</v>
      </c>
      <c r="J50" s="19">
        <v>1</v>
      </c>
      <c r="K50" s="20">
        <f t="shared" si="3"/>
        <v>2979.1666666666665</v>
      </c>
      <c r="L50" s="13" t="s">
        <v>2</v>
      </c>
      <c r="M50" s="21" t="s">
        <v>149</v>
      </c>
    </row>
    <row r="51" spans="1:13">
      <c r="A51" s="13">
        <v>304</v>
      </c>
      <c r="B51" s="13" t="s">
        <v>26</v>
      </c>
      <c r="C51" s="14" t="s">
        <v>27</v>
      </c>
      <c r="D51" s="15">
        <v>452</v>
      </c>
      <c r="E51" s="16">
        <v>45815</v>
      </c>
      <c r="F51" s="16">
        <v>46179</v>
      </c>
      <c r="G51" s="13">
        <v>12</v>
      </c>
      <c r="H51" s="17">
        <v>3250</v>
      </c>
      <c r="I51" s="18">
        <f t="shared" si="1"/>
        <v>7.1902654867256635</v>
      </c>
      <c r="J51" s="19">
        <v>1</v>
      </c>
      <c r="K51" s="20">
        <f t="shared" si="3"/>
        <v>2979.1666666666665</v>
      </c>
      <c r="L51" s="13" t="s">
        <v>10</v>
      </c>
      <c r="M51" s="21" t="s">
        <v>149</v>
      </c>
    </row>
    <row r="52" spans="1:13">
      <c r="A52" s="13">
        <v>305</v>
      </c>
      <c r="B52" s="13" t="s">
        <v>29</v>
      </c>
      <c r="C52" s="14" t="s">
        <v>27</v>
      </c>
      <c r="D52" s="15">
        <v>451</v>
      </c>
      <c r="E52" s="16">
        <v>45779</v>
      </c>
      <c r="F52" s="16">
        <v>46143</v>
      </c>
      <c r="G52" s="13">
        <v>12</v>
      </c>
      <c r="H52" s="17">
        <v>3250</v>
      </c>
      <c r="I52" s="18">
        <f t="shared" si="1"/>
        <v>7.2062084257206207</v>
      </c>
      <c r="J52" s="19">
        <v>1</v>
      </c>
      <c r="K52" s="20">
        <f t="shared" si="3"/>
        <v>2979.1666666666665</v>
      </c>
      <c r="L52" s="13" t="s">
        <v>2</v>
      </c>
      <c r="M52" s="21" t="s">
        <v>149</v>
      </c>
    </row>
    <row r="53" spans="1:13">
      <c r="A53" s="13">
        <v>306</v>
      </c>
      <c r="B53" s="13" t="s">
        <v>26</v>
      </c>
      <c r="C53" s="14" t="s">
        <v>27</v>
      </c>
      <c r="D53" s="15">
        <v>452</v>
      </c>
      <c r="E53" s="16">
        <v>45803</v>
      </c>
      <c r="F53" s="16">
        <v>46167</v>
      </c>
      <c r="G53" s="13">
        <v>12</v>
      </c>
      <c r="H53" s="17">
        <v>3250</v>
      </c>
      <c r="I53" s="18">
        <f t="shared" si="1"/>
        <v>7.1902654867256635</v>
      </c>
      <c r="J53" s="19">
        <v>1</v>
      </c>
      <c r="K53" s="20">
        <f t="shared" si="3"/>
        <v>2979.1666666666665</v>
      </c>
      <c r="L53" s="13" t="s">
        <v>10</v>
      </c>
      <c r="M53" s="21" t="s">
        <v>149</v>
      </c>
    </row>
    <row r="54" spans="1:13">
      <c r="A54" s="13">
        <v>308</v>
      </c>
      <c r="B54" s="13" t="s">
        <v>26</v>
      </c>
      <c r="C54" s="14" t="s">
        <v>27</v>
      </c>
      <c r="D54" s="15">
        <v>452</v>
      </c>
      <c r="E54" s="16">
        <v>45777</v>
      </c>
      <c r="F54" s="16">
        <v>46141</v>
      </c>
      <c r="G54" s="13">
        <v>12</v>
      </c>
      <c r="H54" s="17">
        <v>3200</v>
      </c>
      <c r="I54" s="18">
        <f t="shared" si="1"/>
        <v>7.0796460176991154</v>
      </c>
      <c r="J54" s="19">
        <v>1</v>
      </c>
      <c r="K54" s="20">
        <f t="shared" si="3"/>
        <v>2933.3333333333335</v>
      </c>
      <c r="L54" s="13" t="s">
        <v>10</v>
      </c>
      <c r="M54" s="21" t="s">
        <v>149</v>
      </c>
    </row>
    <row r="55" spans="1:13">
      <c r="A55" s="13">
        <v>309</v>
      </c>
      <c r="B55" s="13" t="s">
        <v>53</v>
      </c>
      <c r="C55" s="14" t="s">
        <v>14</v>
      </c>
      <c r="D55" s="15">
        <v>858</v>
      </c>
      <c r="E55" s="16">
        <v>46183</v>
      </c>
      <c r="F55" s="16">
        <v>46182</v>
      </c>
      <c r="G55" s="13">
        <v>12</v>
      </c>
      <c r="H55" s="17">
        <v>5450</v>
      </c>
      <c r="I55" s="18">
        <f t="shared" si="1"/>
        <v>6.3519813519813519</v>
      </c>
      <c r="J55" s="19">
        <v>1</v>
      </c>
      <c r="K55" s="20">
        <f t="shared" si="3"/>
        <v>4995.833333333333</v>
      </c>
      <c r="L55" s="13" t="s">
        <v>2</v>
      </c>
      <c r="M55" s="21" t="s">
        <v>149</v>
      </c>
    </row>
    <row r="56" spans="1:13">
      <c r="A56" s="13">
        <v>310</v>
      </c>
      <c r="B56" s="13" t="s">
        <v>53</v>
      </c>
      <c r="C56" s="14" t="s">
        <v>14</v>
      </c>
      <c r="D56" s="15">
        <v>844</v>
      </c>
      <c r="E56" s="16">
        <v>45885</v>
      </c>
      <c r="F56" s="16">
        <v>46249</v>
      </c>
      <c r="G56" s="13">
        <v>12</v>
      </c>
      <c r="H56" s="17">
        <v>5450</v>
      </c>
      <c r="I56" s="18">
        <f t="shared" si="1"/>
        <v>6.4573459715639814</v>
      </c>
      <c r="J56" s="19">
        <v>1</v>
      </c>
      <c r="K56" s="20">
        <f t="shared" si="3"/>
        <v>4995.833333333333</v>
      </c>
      <c r="L56" s="13" t="s">
        <v>2</v>
      </c>
      <c r="M56" s="21" t="s">
        <v>149</v>
      </c>
    </row>
    <row r="57" spans="1:13">
      <c r="A57" s="13">
        <v>311</v>
      </c>
      <c r="B57" s="13" t="s">
        <v>26</v>
      </c>
      <c r="C57" s="14" t="s">
        <v>27</v>
      </c>
      <c r="D57" s="15">
        <v>452</v>
      </c>
      <c r="E57" s="16">
        <v>45890</v>
      </c>
      <c r="F57" s="16">
        <v>46254</v>
      </c>
      <c r="G57" s="13">
        <v>12</v>
      </c>
      <c r="H57" s="17">
        <v>3350</v>
      </c>
      <c r="I57" s="18">
        <f t="shared" si="1"/>
        <v>7.4115044247787614</v>
      </c>
      <c r="J57" s="19">
        <v>1</v>
      </c>
      <c r="K57" s="20">
        <f t="shared" si="3"/>
        <v>3070.8333333333335</v>
      </c>
      <c r="L57" s="13" t="s">
        <v>10</v>
      </c>
      <c r="M57" s="21" t="s">
        <v>149</v>
      </c>
    </row>
    <row r="58" spans="1:13">
      <c r="A58" s="13">
        <v>312</v>
      </c>
      <c r="B58" s="13" t="s">
        <v>28</v>
      </c>
      <c r="C58" s="14" t="s">
        <v>27</v>
      </c>
      <c r="D58" s="15">
        <v>452</v>
      </c>
      <c r="E58" s="16">
        <v>45822</v>
      </c>
      <c r="F58" s="16">
        <v>46186</v>
      </c>
      <c r="G58" s="13">
        <v>12</v>
      </c>
      <c r="H58" s="17">
        <v>3350</v>
      </c>
      <c r="I58" s="18">
        <f t="shared" si="1"/>
        <v>7.4115044247787614</v>
      </c>
      <c r="J58" s="19">
        <v>1</v>
      </c>
      <c r="K58" s="20">
        <f t="shared" si="3"/>
        <v>3070.8333333333335</v>
      </c>
      <c r="L58" s="13" t="s">
        <v>2</v>
      </c>
      <c r="M58" s="21" t="s">
        <v>149</v>
      </c>
    </row>
    <row r="59" spans="1:13">
      <c r="A59" s="13">
        <v>312</v>
      </c>
      <c r="B59" s="13" t="s">
        <v>28</v>
      </c>
      <c r="C59" s="14" t="s">
        <v>27</v>
      </c>
      <c r="D59" s="15">
        <v>452</v>
      </c>
      <c r="E59" s="16">
        <v>45822</v>
      </c>
      <c r="F59" s="16">
        <v>46186</v>
      </c>
      <c r="G59" s="13">
        <v>12</v>
      </c>
      <c r="H59" s="17">
        <v>3350</v>
      </c>
      <c r="I59" s="18">
        <f t="shared" si="1"/>
        <v>7.4115044247787614</v>
      </c>
      <c r="J59" s="19">
        <v>1</v>
      </c>
      <c r="K59" s="20">
        <f t="shared" si="3"/>
        <v>3070.8333333333335</v>
      </c>
      <c r="L59" s="13" t="s">
        <v>4</v>
      </c>
      <c r="M59" s="21" t="s">
        <v>149</v>
      </c>
    </row>
    <row r="60" spans="1:13">
      <c r="A60" s="13">
        <v>313</v>
      </c>
      <c r="B60" s="13" t="s">
        <v>54</v>
      </c>
      <c r="C60" s="14" t="s">
        <v>31</v>
      </c>
      <c r="D60" s="15">
        <v>654</v>
      </c>
      <c r="E60" s="16">
        <v>45884</v>
      </c>
      <c r="F60" s="16">
        <v>46143</v>
      </c>
      <c r="G60" s="13">
        <v>9</v>
      </c>
      <c r="H60" s="17">
        <v>4230</v>
      </c>
      <c r="I60" s="18">
        <f t="shared" si="1"/>
        <v>6.4678899082568808</v>
      </c>
      <c r="J60" s="19">
        <v>0</v>
      </c>
      <c r="K60" s="20">
        <f t="shared" si="3"/>
        <v>4230</v>
      </c>
      <c r="L60" s="13" t="s">
        <v>10</v>
      </c>
      <c r="M60" s="21" t="s">
        <v>149</v>
      </c>
    </row>
    <row r="61" spans="1:13">
      <c r="A61" s="13">
        <v>314</v>
      </c>
      <c r="B61" s="13" t="s">
        <v>5</v>
      </c>
      <c r="C61" s="14" t="s">
        <v>31</v>
      </c>
      <c r="D61" s="15">
        <v>677</v>
      </c>
      <c r="E61" s="16">
        <v>45930</v>
      </c>
      <c r="F61" s="16">
        <v>46265</v>
      </c>
      <c r="G61" s="13">
        <v>12</v>
      </c>
      <c r="H61" s="17">
        <v>4350</v>
      </c>
      <c r="I61" s="18">
        <f t="shared" si="1"/>
        <v>6.4254062038404722</v>
      </c>
      <c r="J61" s="19">
        <v>1</v>
      </c>
      <c r="K61" s="20">
        <f t="shared" si="3"/>
        <v>3987.5</v>
      </c>
      <c r="L61" s="13" t="s">
        <v>10</v>
      </c>
      <c r="M61" s="21" t="s">
        <v>149</v>
      </c>
    </row>
    <row r="62" spans="1:13">
      <c r="A62" s="13">
        <v>315</v>
      </c>
      <c r="B62" s="13" t="s">
        <v>26</v>
      </c>
      <c r="C62" s="14" t="s">
        <v>27</v>
      </c>
      <c r="D62" s="15">
        <v>467</v>
      </c>
      <c r="E62" s="16">
        <v>45731</v>
      </c>
      <c r="F62" s="16">
        <v>46095</v>
      </c>
      <c r="G62" s="13">
        <v>12</v>
      </c>
      <c r="H62" s="17">
        <v>3450</v>
      </c>
      <c r="I62" s="18">
        <f t="shared" si="1"/>
        <v>7.3875802997858671</v>
      </c>
      <c r="J62" s="19">
        <v>1</v>
      </c>
      <c r="K62" s="20">
        <f t="shared" si="3"/>
        <v>3162.5</v>
      </c>
      <c r="L62" s="13" t="s">
        <v>10</v>
      </c>
      <c r="M62" s="21" t="s">
        <v>149</v>
      </c>
    </row>
    <row r="63" spans="1:13">
      <c r="A63" s="13">
        <v>316</v>
      </c>
      <c r="B63" s="13" t="s">
        <v>55</v>
      </c>
      <c r="C63" s="14" t="s">
        <v>56</v>
      </c>
      <c r="D63" s="15">
        <v>850</v>
      </c>
      <c r="E63" s="16">
        <v>45870</v>
      </c>
      <c r="F63" s="16">
        <v>45869</v>
      </c>
      <c r="G63" s="13">
        <v>12</v>
      </c>
      <c r="H63" s="17">
        <v>4330</v>
      </c>
      <c r="I63" s="18">
        <f t="shared" si="1"/>
        <v>5.0941176470588232</v>
      </c>
      <c r="J63" s="19">
        <v>1</v>
      </c>
      <c r="K63" s="20">
        <f t="shared" si="3"/>
        <v>3969.1666666666665</v>
      </c>
      <c r="L63" s="13" t="s">
        <v>4</v>
      </c>
      <c r="M63" s="21" t="s">
        <v>149</v>
      </c>
    </row>
    <row r="64" spans="1:13">
      <c r="A64" s="13">
        <v>318</v>
      </c>
      <c r="B64" s="13" t="s">
        <v>34</v>
      </c>
      <c r="C64" s="14" t="s">
        <v>27</v>
      </c>
      <c r="D64" s="15">
        <v>456</v>
      </c>
      <c r="E64" s="16">
        <v>45885</v>
      </c>
      <c r="F64" s="16">
        <v>46249</v>
      </c>
      <c r="G64" s="13">
        <v>12</v>
      </c>
      <c r="H64" s="17">
        <v>3350</v>
      </c>
      <c r="I64" s="18">
        <f t="shared" si="1"/>
        <v>7.3464912280701755</v>
      </c>
      <c r="J64" s="19">
        <v>1</v>
      </c>
      <c r="K64" s="20">
        <f t="shared" si="3"/>
        <v>3070.8333333333335</v>
      </c>
      <c r="L64" s="13" t="s">
        <v>4</v>
      </c>
      <c r="M64" s="21" t="s">
        <v>149</v>
      </c>
    </row>
    <row r="65" spans="1:13">
      <c r="A65" s="13">
        <v>320</v>
      </c>
      <c r="B65" s="13" t="s">
        <v>34</v>
      </c>
      <c r="C65" s="14" t="s">
        <v>27</v>
      </c>
      <c r="D65" s="15">
        <v>456</v>
      </c>
      <c r="E65" s="16">
        <v>45869</v>
      </c>
      <c r="F65" s="16">
        <v>46233</v>
      </c>
      <c r="G65" s="13">
        <v>12</v>
      </c>
      <c r="H65" s="17">
        <v>3375</v>
      </c>
      <c r="I65" s="18">
        <f t="shared" si="1"/>
        <v>7.4013157894736841</v>
      </c>
      <c r="J65" s="19">
        <v>1</v>
      </c>
      <c r="K65" s="20">
        <f t="shared" si="3"/>
        <v>3093.75</v>
      </c>
      <c r="L65" s="13" t="s">
        <v>10</v>
      </c>
      <c r="M65" s="21" t="s">
        <v>149</v>
      </c>
    </row>
    <row r="66" spans="1:13">
      <c r="A66" s="13">
        <v>321</v>
      </c>
      <c r="B66" s="13" t="s">
        <v>57</v>
      </c>
      <c r="C66" s="14" t="s">
        <v>1</v>
      </c>
      <c r="D66" s="15">
        <v>684</v>
      </c>
      <c r="E66" s="16">
        <v>45868</v>
      </c>
      <c r="F66" s="16">
        <v>46232</v>
      </c>
      <c r="G66" s="13">
        <v>12</v>
      </c>
      <c r="H66" s="17">
        <v>4250</v>
      </c>
      <c r="I66" s="18">
        <f t="shared" si="1"/>
        <v>6.2134502923976607</v>
      </c>
      <c r="J66" s="19">
        <v>1</v>
      </c>
      <c r="K66" s="20">
        <f t="shared" si="3"/>
        <v>3895.8333333333335</v>
      </c>
      <c r="L66" s="13" t="s">
        <v>10</v>
      </c>
      <c r="M66" s="21" t="s">
        <v>149</v>
      </c>
    </row>
    <row r="67" spans="1:13">
      <c r="A67" s="13">
        <v>323</v>
      </c>
      <c r="B67" s="13" t="s">
        <v>33</v>
      </c>
      <c r="C67" s="14" t="s">
        <v>1</v>
      </c>
      <c r="D67" s="15">
        <v>684</v>
      </c>
      <c r="E67" s="16">
        <v>45869</v>
      </c>
      <c r="F67" s="16">
        <v>46233</v>
      </c>
      <c r="G67" s="13">
        <v>12</v>
      </c>
      <c r="H67" s="17">
        <v>4250</v>
      </c>
      <c r="I67" s="18">
        <f t="shared" si="1"/>
        <v>6.2134502923976607</v>
      </c>
      <c r="J67" s="19">
        <v>1</v>
      </c>
      <c r="K67" s="20">
        <f t="shared" si="3"/>
        <v>3895.8333333333335</v>
      </c>
      <c r="L67" s="13" t="s">
        <v>2</v>
      </c>
      <c r="M67" s="21" t="s">
        <v>149</v>
      </c>
    </row>
    <row r="68" spans="1:13">
      <c r="A68" s="13">
        <v>325</v>
      </c>
      <c r="B68" s="13" t="s">
        <v>34</v>
      </c>
      <c r="C68" s="14" t="s">
        <v>27</v>
      </c>
      <c r="D68" s="15">
        <v>456</v>
      </c>
      <c r="E68" s="16">
        <v>45884</v>
      </c>
      <c r="F68" s="16">
        <v>46248</v>
      </c>
      <c r="G68" s="13">
        <v>12</v>
      </c>
      <c r="H68" s="17">
        <v>3375</v>
      </c>
      <c r="I68" s="18">
        <f t="shared" si="1"/>
        <v>7.4013157894736841</v>
      </c>
      <c r="J68" s="19">
        <v>1</v>
      </c>
      <c r="K68" s="20">
        <f t="shared" si="3"/>
        <v>3093.75</v>
      </c>
      <c r="L68" s="13" t="s">
        <v>2</v>
      </c>
      <c r="M68" s="21" t="s">
        <v>149</v>
      </c>
    </row>
    <row r="69" spans="1:13">
      <c r="A69" s="13">
        <v>326</v>
      </c>
      <c r="B69" s="13" t="s">
        <v>35</v>
      </c>
      <c r="C69" s="14" t="s">
        <v>27</v>
      </c>
      <c r="D69" s="15">
        <v>456</v>
      </c>
      <c r="E69" s="16">
        <v>45900</v>
      </c>
      <c r="F69" s="16">
        <v>46264</v>
      </c>
      <c r="G69" s="13">
        <v>12</v>
      </c>
      <c r="H69" s="17">
        <v>3375</v>
      </c>
      <c r="I69" s="18">
        <f t="shared" ref="I69:I132" si="4">H69/D69</f>
        <v>7.4013157894736841</v>
      </c>
      <c r="J69" s="19">
        <v>1</v>
      </c>
      <c r="K69" s="20">
        <f t="shared" si="3"/>
        <v>3093.75</v>
      </c>
      <c r="L69" s="13" t="s">
        <v>2</v>
      </c>
      <c r="M69" s="21" t="s">
        <v>149</v>
      </c>
    </row>
    <row r="70" spans="1:13">
      <c r="A70" s="13">
        <v>327</v>
      </c>
      <c r="B70" s="13" t="s">
        <v>34</v>
      </c>
      <c r="C70" s="14" t="s">
        <v>27</v>
      </c>
      <c r="D70" s="15">
        <v>456</v>
      </c>
      <c r="E70" s="16">
        <v>45898</v>
      </c>
      <c r="F70" s="16">
        <v>46262</v>
      </c>
      <c r="G70" s="13">
        <v>12</v>
      </c>
      <c r="H70" s="17">
        <v>3375</v>
      </c>
      <c r="I70" s="18">
        <f t="shared" si="4"/>
        <v>7.4013157894736841</v>
      </c>
      <c r="J70" s="19">
        <v>1</v>
      </c>
      <c r="K70" s="20">
        <f t="shared" si="3"/>
        <v>3093.75</v>
      </c>
      <c r="L70" s="13" t="s">
        <v>10</v>
      </c>
      <c r="M70" s="21" t="s">
        <v>149</v>
      </c>
    </row>
    <row r="71" spans="1:13">
      <c r="A71" s="13">
        <v>328</v>
      </c>
      <c r="B71" s="13" t="s">
        <v>28</v>
      </c>
      <c r="C71" s="14" t="s">
        <v>27</v>
      </c>
      <c r="D71" s="15">
        <v>452</v>
      </c>
      <c r="E71" s="16">
        <v>45788</v>
      </c>
      <c r="F71" s="16">
        <v>46152</v>
      </c>
      <c r="G71" s="13">
        <v>12</v>
      </c>
      <c r="H71" s="17">
        <v>3375</v>
      </c>
      <c r="I71" s="18">
        <f t="shared" si="4"/>
        <v>7.466814159292035</v>
      </c>
      <c r="J71" s="19">
        <v>1</v>
      </c>
      <c r="K71" s="20">
        <f t="shared" si="3"/>
        <v>3093.75</v>
      </c>
      <c r="L71" s="13" t="s">
        <v>10</v>
      </c>
      <c r="M71" s="21" t="s">
        <v>149</v>
      </c>
    </row>
    <row r="72" spans="1:13">
      <c r="A72" s="13">
        <v>331</v>
      </c>
      <c r="B72" s="13" t="s">
        <v>34</v>
      </c>
      <c r="C72" s="14" t="s">
        <v>27</v>
      </c>
      <c r="D72" s="15">
        <v>456</v>
      </c>
      <c r="E72" s="16">
        <v>45986</v>
      </c>
      <c r="F72" s="16">
        <v>46350</v>
      </c>
      <c r="G72" s="13">
        <v>12</v>
      </c>
      <c r="H72" s="17">
        <v>3350</v>
      </c>
      <c r="I72" s="18">
        <f>H72/D72</f>
        <v>7.3464912280701755</v>
      </c>
      <c r="J72" s="19">
        <v>1</v>
      </c>
      <c r="K72" s="20">
        <f>H72*SUM(G72-J72)/G72</f>
        <v>3070.8333333333335</v>
      </c>
      <c r="L72" s="13" t="s">
        <v>2</v>
      </c>
      <c r="M72" s="21" t="s">
        <v>149</v>
      </c>
    </row>
    <row r="73" spans="1:13">
      <c r="A73" s="13">
        <v>332</v>
      </c>
      <c r="B73" s="13" t="s">
        <v>58</v>
      </c>
      <c r="C73" s="14" t="s">
        <v>14</v>
      </c>
      <c r="D73" s="15">
        <v>958</v>
      </c>
      <c r="E73" s="16">
        <v>45663</v>
      </c>
      <c r="F73" s="16">
        <v>46512</v>
      </c>
      <c r="G73" s="13">
        <v>28</v>
      </c>
      <c r="H73" s="17">
        <v>5820</v>
      </c>
      <c r="I73" s="18">
        <f t="shared" si="4"/>
        <v>6.0751565762004178</v>
      </c>
      <c r="J73" s="19">
        <v>2</v>
      </c>
      <c r="K73" s="20">
        <f t="shared" si="3"/>
        <v>5404.2857142857147</v>
      </c>
      <c r="L73" s="13" t="s">
        <v>59</v>
      </c>
      <c r="M73" s="21" t="s">
        <v>149</v>
      </c>
    </row>
    <row r="74" spans="1:13">
      <c r="A74" s="13">
        <v>333</v>
      </c>
      <c r="B74" s="13" t="s">
        <v>37</v>
      </c>
      <c r="C74" s="14" t="s">
        <v>27</v>
      </c>
      <c r="D74" s="15">
        <v>509</v>
      </c>
      <c r="E74" s="16">
        <v>45845</v>
      </c>
      <c r="F74" s="16">
        <v>46209</v>
      </c>
      <c r="G74" s="13">
        <v>12</v>
      </c>
      <c r="H74" s="17">
        <v>4375</v>
      </c>
      <c r="I74" s="18">
        <f t="shared" si="4"/>
        <v>8.5952848722986239</v>
      </c>
      <c r="J74" s="19">
        <v>1</v>
      </c>
      <c r="K74" s="20">
        <f t="shared" si="3"/>
        <v>4010.4166666666665</v>
      </c>
      <c r="L74" s="13" t="s">
        <v>10</v>
      </c>
      <c r="M74" s="21" t="s">
        <v>149</v>
      </c>
    </row>
    <row r="75" spans="1:13">
      <c r="A75" s="13">
        <v>334</v>
      </c>
      <c r="B75" s="13" t="s">
        <v>38</v>
      </c>
      <c r="C75" s="14" t="s">
        <v>27</v>
      </c>
      <c r="D75" s="15">
        <v>511</v>
      </c>
      <c r="E75" s="16">
        <v>45875</v>
      </c>
      <c r="F75" s="16">
        <v>46239</v>
      </c>
      <c r="G75" s="13">
        <v>12</v>
      </c>
      <c r="H75" s="17">
        <v>3375</v>
      </c>
      <c r="I75" s="18">
        <f t="shared" si="4"/>
        <v>6.6046966731898236</v>
      </c>
      <c r="J75" s="19">
        <v>1</v>
      </c>
      <c r="K75" s="20">
        <f t="shared" si="3"/>
        <v>3093.75</v>
      </c>
      <c r="L75" s="13" t="s">
        <v>2</v>
      </c>
      <c r="M75" s="21" t="s">
        <v>149</v>
      </c>
    </row>
    <row r="76" spans="1:13">
      <c r="A76" s="13">
        <v>334</v>
      </c>
      <c r="B76" s="13" t="s">
        <v>38</v>
      </c>
      <c r="C76" s="14" t="s">
        <v>27</v>
      </c>
      <c r="D76" s="15">
        <v>511</v>
      </c>
      <c r="E76" s="16">
        <v>46035</v>
      </c>
      <c r="F76" s="16">
        <v>46207</v>
      </c>
      <c r="G76" s="13">
        <v>6</v>
      </c>
      <c r="H76" s="17">
        <v>3375</v>
      </c>
      <c r="I76" s="18">
        <f t="shared" si="4"/>
        <v>6.6046966731898236</v>
      </c>
      <c r="J76" s="19">
        <v>0</v>
      </c>
      <c r="K76" s="20">
        <f t="shared" si="3"/>
        <v>3375</v>
      </c>
      <c r="L76" s="13" t="s">
        <v>2</v>
      </c>
      <c r="M76" s="21" t="s">
        <v>149</v>
      </c>
    </row>
    <row r="77" spans="1:13">
      <c r="A77" s="13">
        <v>335</v>
      </c>
      <c r="B77" s="13" t="s">
        <v>60</v>
      </c>
      <c r="C77" s="14" t="s">
        <v>9</v>
      </c>
      <c r="D77" s="15">
        <v>974</v>
      </c>
      <c r="E77" s="16">
        <v>45940</v>
      </c>
      <c r="F77" s="16">
        <v>46304</v>
      </c>
      <c r="G77" s="13">
        <v>7</v>
      </c>
      <c r="H77" s="17">
        <v>5970</v>
      </c>
      <c r="I77" s="18">
        <f t="shared" si="4"/>
        <v>6.1293634496919918</v>
      </c>
      <c r="J77" s="19">
        <v>0</v>
      </c>
      <c r="K77" s="20">
        <f t="shared" si="3"/>
        <v>5970</v>
      </c>
      <c r="L77" s="13" t="s">
        <v>2</v>
      </c>
      <c r="M77" s="21" t="s">
        <v>149</v>
      </c>
    </row>
    <row r="78" spans="1:13">
      <c r="A78" s="13">
        <v>336</v>
      </c>
      <c r="B78" s="13" t="s">
        <v>61</v>
      </c>
      <c r="C78" s="14" t="s">
        <v>14</v>
      </c>
      <c r="D78" s="15">
        <v>1159</v>
      </c>
      <c r="E78" s="16">
        <v>45600</v>
      </c>
      <c r="F78" s="16">
        <v>45964</v>
      </c>
      <c r="G78" s="13">
        <v>12</v>
      </c>
      <c r="H78" s="17">
        <v>6180</v>
      </c>
      <c r="I78" s="18">
        <f t="shared" si="4"/>
        <v>5.3321829163071612</v>
      </c>
      <c r="J78" s="19">
        <v>1</v>
      </c>
      <c r="K78" s="20">
        <f t="shared" si="3"/>
        <v>5665</v>
      </c>
      <c r="L78" s="13" t="s">
        <v>10</v>
      </c>
      <c r="M78" s="21" t="s">
        <v>149</v>
      </c>
    </row>
    <row r="79" spans="1:13">
      <c r="A79" s="13">
        <v>337</v>
      </c>
      <c r="B79" s="13" t="s">
        <v>40</v>
      </c>
      <c r="C79" s="14" t="s">
        <v>31</v>
      </c>
      <c r="D79" s="15">
        <v>685</v>
      </c>
      <c r="E79" s="16">
        <v>45597</v>
      </c>
      <c r="F79" s="16">
        <v>46507</v>
      </c>
      <c r="G79" s="13">
        <v>30</v>
      </c>
      <c r="H79" s="17">
        <v>4000</v>
      </c>
      <c r="I79" s="18">
        <f t="shared" si="4"/>
        <v>5.8394160583941606</v>
      </c>
      <c r="J79" s="19">
        <v>2</v>
      </c>
      <c r="K79" s="20">
        <f t="shared" si="3"/>
        <v>3733.3333333333335</v>
      </c>
      <c r="L79" s="13" t="s">
        <v>7</v>
      </c>
      <c r="M79" s="21" t="s">
        <v>149</v>
      </c>
    </row>
    <row r="80" spans="1:13">
      <c r="A80" s="13">
        <v>338</v>
      </c>
      <c r="B80" s="13" t="s">
        <v>62</v>
      </c>
      <c r="C80" s="14" t="s">
        <v>1</v>
      </c>
      <c r="D80" s="15">
        <v>768</v>
      </c>
      <c r="E80" s="16">
        <v>45926</v>
      </c>
      <c r="F80" s="16">
        <v>46290</v>
      </c>
      <c r="G80" s="13">
        <v>12</v>
      </c>
      <c r="H80" s="17">
        <v>4430</v>
      </c>
      <c r="I80" s="18">
        <f t="shared" si="4"/>
        <v>5.768229166666667</v>
      </c>
      <c r="J80" s="19">
        <v>1</v>
      </c>
      <c r="K80" s="20">
        <f t="shared" si="3"/>
        <v>4060.8333333333335</v>
      </c>
      <c r="L80" s="13" t="s">
        <v>2</v>
      </c>
      <c r="M80" s="21" t="s">
        <v>149</v>
      </c>
    </row>
    <row r="81" spans="1:13">
      <c r="A81" s="13">
        <v>339</v>
      </c>
      <c r="B81" s="13" t="s">
        <v>42</v>
      </c>
      <c r="C81" s="14" t="s">
        <v>1</v>
      </c>
      <c r="D81" s="15">
        <v>841</v>
      </c>
      <c r="E81" s="16">
        <v>45657</v>
      </c>
      <c r="F81" s="16">
        <v>46203</v>
      </c>
      <c r="G81" s="13">
        <v>18</v>
      </c>
      <c r="H81" s="17">
        <v>4680</v>
      </c>
      <c r="I81" s="18">
        <f t="shared" si="4"/>
        <v>5.5648038049940549</v>
      </c>
      <c r="J81" s="19">
        <v>1</v>
      </c>
      <c r="K81" s="20">
        <f t="shared" si="3"/>
        <v>4420</v>
      </c>
      <c r="L81" s="13" t="s">
        <v>10</v>
      </c>
      <c r="M81" s="21" t="s">
        <v>149</v>
      </c>
    </row>
    <row r="82" spans="1:13">
      <c r="A82" s="13">
        <v>340</v>
      </c>
      <c r="B82" s="13" t="s">
        <v>44</v>
      </c>
      <c r="C82" s="14" t="s">
        <v>31</v>
      </c>
      <c r="D82" s="15">
        <v>770</v>
      </c>
      <c r="E82" s="16">
        <v>45601</v>
      </c>
      <c r="F82" s="16">
        <v>45964</v>
      </c>
      <c r="G82" s="13">
        <v>12</v>
      </c>
      <c r="H82" s="17">
        <v>4395</v>
      </c>
      <c r="I82" s="18">
        <f t="shared" si="4"/>
        <v>5.7077922077922079</v>
      </c>
      <c r="J82" s="19">
        <v>1</v>
      </c>
      <c r="K82" s="20">
        <f t="shared" si="3"/>
        <v>4028.75</v>
      </c>
      <c r="L82" s="13" t="s">
        <v>2</v>
      </c>
      <c r="M82" s="21" t="s">
        <v>149</v>
      </c>
    </row>
    <row r="83" spans="1:13">
      <c r="A83" s="13">
        <v>342</v>
      </c>
      <c r="B83" s="13" t="s">
        <v>17</v>
      </c>
      <c r="C83" s="14" t="s">
        <v>14</v>
      </c>
      <c r="D83" s="15">
        <v>1228</v>
      </c>
      <c r="E83" s="16">
        <v>45829</v>
      </c>
      <c r="F83" s="16">
        <v>46193</v>
      </c>
      <c r="G83" s="13">
        <v>12</v>
      </c>
      <c r="H83" s="17">
        <v>6330</v>
      </c>
      <c r="I83" s="18">
        <f t="shared" si="4"/>
        <v>5.1547231270358305</v>
      </c>
      <c r="J83" s="19">
        <v>1</v>
      </c>
      <c r="K83" s="20">
        <f t="shared" si="3"/>
        <v>5802.5</v>
      </c>
      <c r="L83" s="13" t="s">
        <v>10</v>
      </c>
      <c r="M83" s="21" t="s">
        <v>149</v>
      </c>
    </row>
    <row r="84" spans="1:13">
      <c r="A84" s="13">
        <v>343</v>
      </c>
      <c r="B84" s="13" t="s">
        <v>47</v>
      </c>
      <c r="C84" s="14" t="s">
        <v>9</v>
      </c>
      <c r="D84" s="15">
        <v>1228</v>
      </c>
      <c r="E84" s="16">
        <v>45808</v>
      </c>
      <c r="F84" s="16">
        <v>46172</v>
      </c>
      <c r="G84" s="13">
        <v>11</v>
      </c>
      <c r="H84" s="17">
        <v>6230</v>
      </c>
      <c r="I84" s="18">
        <f t="shared" si="4"/>
        <v>5.0732899022801305</v>
      </c>
      <c r="J84" s="19">
        <v>0</v>
      </c>
      <c r="K84" s="20">
        <f t="shared" si="3"/>
        <v>6230</v>
      </c>
      <c r="L84" s="13" t="s">
        <v>2</v>
      </c>
      <c r="M84" s="21" t="s">
        <v>149</v>
      </c>
    </row>
    <row r="85" spans="1:13">
      <c r="A85" s="13">
        <v>344</v>
      </c>
      <c r="B85" s="13" t="s">
        <v>63</v>
      </c>
      <c r="C85" s="14" t="s">
        <v>12</v>
      </c>
      <c r="D85" s="15">
        <v>701</v>
      </c>
      <c r="E85" s="16">
        <v>45836</v>
      </c>
      <c r="F85" s="16">
        <v>46200</v>
      </c>
      <c r="G85" s="13">
        <v>12</v>
      </c>
      <c r="H85" s="17">
        <v>4000</v>
      </c>
      <c r="I85" s="18">
        <f t="shared" si="4"/>
        <v>5.7061340941512126</v>
      </c>
      <c r="J85" s="19">
        <v>1</v>
      </c>
      <c r="K85" s="20">
        <f t="shared" si="3"/>
        <v>3666.6666666666665</v>
      </c>
      <c r="L85" s="13" t="s">
        <v>10</v>
      </c>
      <c r="M85" s="21" t="s">
        <v>149</v>
      </c>
    </row>
    <row r="86" spans="1:13">
      <c r="A86" s="13">
        <v>345</v>
      </c>
      <c r="B86" s="13" t="s">
        <v>62</v>
      </c>
      <c r="C86" s="14" t="s">
        <v>31</v>
      </c>
      <c r="D86" s="15">
        <v>768</v>
      </c>
      <c r="E86" s="16">
        <v>45716</v>
      </c>
      <c r="F86" s="16">
        <v>46080</v>
      </c>
      <c r="G86" s="13">
        <v>12</v>
      </c>
      <c r="H86" s="17">
        <v>4430</v>
      </c>
      <c r="I86" s="18">
        <f t="shared" si="4"/>
        <v>5.768229166666667</v>
      </c>
      <c r="J86" s="19">
        <v>1</v>
      </c>
      <c r="K86" s="20">
        <v>4330</v>
      </c>
      <c r="L86" s="13" t="s">
        <v>10</v>
      </c>
      <c r="M86" s="21" t="s">
        <v>149</v>
      </c>
    </row>
    <row r="87" spans="1:13">
      <c r="A87" s="13">
        <v>346</v>
      </c>
      <c r="B87" s="13" t="s">
        <v>64</v>
      </c>
      <c r="C87" s="14" t="s">
        <v>25</v>
      </c>
      <c r="D87" s="15">
        <v>841</v>
      </c>
      <c r="E87" s="16">
        <v>45825</v>
      </c>
      <c r="F87" s="16">
        <v>46187</v>
      </c>
      <c r="G87" s="13">
        <v>12</v>
      </c>
      <c r="H87" s="17">
        <v>4800</v>
      </c>
      <c r="I87" s="18">
        <f t="shared" si="4"/>
        <v>5.7074910820451841</v>
      </c>
      <c r="J87" s="19">
        <v>1</v>
      </c>
      <c r="K87" s="20">
        <f t="shared" ref="K87:K150" si="5">H87*SUM(G87-J87)/G87</f>
        <v>4400</v>
      </c>
      <c r="L87" s="13" t="s">
        <v>2</v>
      </c>
      <c r="M87" s="21" t="s">
        <v>149</v>
      </c>
    </row>
    <row r="88" spans="1:13">
      <c r="A88" s="13">
        <v>347</v>
      </c>
      <c r="B88" s="13" t="s">
        <v>44</v>
      </c>
      <c r="C88" s="14" t="s">
        <v>31</v>
      </c>
      <c r="D88" s="15">
        <v>770</v>
      </c>
      <c r="E88" s="16">
        <v>45663</v>
      </c>
      <c r="F88" s="16">
        <v>46573</v>
      </c>
      <c r="G88" s="13">
        <v>30</v>
      </c>
      <c r="H88" s="17">
        <v>4395</v>
      </c>
      <c r="I88" s="18">
        <f t="shared" si="4"/>
        <v>5.7077922077922079</v>
      </c>
      <c r="J88" s="19">
        <v>2</v>
      </c>
      <c r="K88" s="20">
        <f t="shared" si="5"/>
        <v>4102</v>
      </c>
      <c r="L88" s="13" t="s">
        <v>59</v>
      </c>
      <c r="M88" s="21" t="s">
        <v>149</v>
      </c>
    </row>
    <row r="89" spans="1:13">
      <c r="A89" s="13">
        <v>350</v>
      </c>
      <c r="B89" s="13" t="s">
        <v>36</v>
      </c>
      <c r="C89" s="14" t="s">
        <v>14</v>
      </c>
      <c r="D89" s="15">
        <v>974</v>
      </c>
      <c r="E89" s="16">
        <v>45667</v>
      </c>
      <c r="F89" s="16">
        <v>46577</v>
      </c>
      <c r="G89" s="13">
        <v>30</v>
      </c>
      <c r="H89" s="17">
        <v>5700</v>
      </c>
      <c r="I89" s="18">
        <f t="shared" si="4"/>
        <v>5.8521560574948666</v>
      </c>
      <c r="J89" s="19">
        <v>2</v>
      </c>
      <c r="K89" s="20">
        <f t="shared" si="5"/>
        <v>5320</v>
      </c>
      <c r="L89" s="13" t="s">
        <v>59</v>
      </c>
      <c r="M89" s="21" t="s">
        <v>149</v>
      </c>
    </row>
    <row r="90" spans="1:13">
      <c r="A90" s="13">
        <v>352</v>
      </c>
      <c r="B90" s="13" t="s">
        <v>50</v>
      </c>
      <c r="C90" s="14" t="s">
        <v>14</v>
      </c>
      <c r="D90" s="15">
        <v>1170</v>
      </c>
      <c r="E90" s="16">
        <v>45839</v>
      </c>
      <c r="F90" s="16">
        <v>46203</v>
      </c>
      <c r="G90" s="13">
        <v>12</v>
      </c>
      <c r="H90" s="17">
        <v>6270</v>
      </c>
      <c r="I90" s="18">
        <f t="shared" si="4"/>
        <v>5.3589743589743586</v>
      </c>
      <c r="J90" s="19">
        <v>1</v>
      </c>
      <c r="K90" s="20">
        <f t="shared" si="5"/>
        <v>5747.5</v>
      </c>
      <c r="L90" s="13" t="s">
        <v>10</v>
      </c>
      <c r="M90" s="21" t="s">
        <v>149</v>
      </c>
    </row>
    <row r="91" spans="1:13">
      <c r="A91" s="13">
        <v>401</v>
      </c>
      <c r="B91" s="13" t="s">
        <v>65</v>
      </c>
      <c r="C91" s="14" t="s">
        <v>14</v>
      </c>
      <c r="D91" s="15">
        <v>1045</v>
      </c>
      <c r="E91" s="16">
        <v>45790</v>
      </c>
      <c r="F91" s="16">
        <v>46154</v>
      </c>
      <c r="G91" s="13">
        <v>12</v>
      </c>
      <c r="H91" s="17">
        <v>5980</v>
      </c>
      <c r="I91" s="18">
        <f t="shared" si="4"/>
        <v>5.7224880382775121</v>
      </c>
      <c r="J91" s="19">
        <v>1</v>
      </c>
      <c r="K91" s="20">
        <f t="shared" si="5"/>
        <v>5481.666666666667</v>
      </c>
      <c r="L91" s="13" t="s">
        <v>10</v>
      </c>
      <c r="M91" s="21" t="s">
        <v>149</v>
      </c>
    </row>
    <row r="92" spans="1:13">
      <c r="A92" s="13">
        <v>402</v>
      </c>
      <c r="B92" s="13" t="s">
        <v>26</v>
      </c>
      <c r="C92" s="14" t="s">
        <v>27</v>
      </c>
      <c r="D92" s="15">
        <v>452</v>
      </c>
      <c r="E92" s="16">
        <v>45839</v>
      </c>
      <c r="F92" s="16">
        <v>46203</v>
      </c>
      <c r="G92" s="13">
        <v>12</v>
      </c>
      <c r="H92" s="17">
        <v>3400</v>
      </c>
      <c r="I92" s="18">
        <f t="shared" si="4"/>
        <v>7.5221238938053094</v>
      </c>
      <c r="J92" s="19">
        <v>1</v>
      </c>
      <c r="K92" s="20">
        <f t="shared" si="5"/>
        <v>3116.6666666666665</v>
      </c>
      <c r="L92" s="13" t="s">
        <v>10</v>
      </c>
      <c r="M92" s="21" t="s">
        <v>149</v>
      </c>
    </row>
    <row r="93" spans="1:13">
      <c r="A93" s="13">
        <v>403</v>
      </c>
      <c r="B93" s="13" t="s">
        <v>29</v>
      </c>
      <c r="C93" s="14" t="s">
        <v>27</v>
      </c>
      <c r="D93" s="15">
        <v>451</v>
      </c>
      <c r="E93" s="16">
        <v>45869</v>
      </c>
      <c r="F93" s="16">
        <v>46233</v>
      </c>
      <c r="G93" s="13">
        <v>12</v>
      </c>
      <c r="H93" s="17">
        <v>3400</v>
      </c>
      <c r="I93" s="18">
        <f t="shared" si="4"/>
        <v>7.5388026607538805</v>
      </c>
      <c r="J93" s="19">
        <v>1</v>
      </c>
      <c r="K93" s="20">
        <f t="shared" si="5"/>
        <v>3116.6666666666665</v>
      </c>
      <c r="L93" s="13" t="s">
        <v>2</v>
      </c>
      <c r="M93" s="21" t="s">
        <v>149</v>
      </c>
    </row>
    <row r="94" spans="1:13">
      <c r="A94" s="13">
        <v>404</v>
      </c>
      <c r="B94" s="13" t="s">
        <v>26</v>
      </c>
      <c r="C94" s="14" t="s">
        <v>27</v>
      </c>
      <c r="D94" s="15">
        <v>452</v>
      </c>
      <c r="E94" s="16">
        <v>45900</v>
      </c>
      <c r="F94" s="16">
        <v>46264</v>
      </c>
      <c r="G94" s="13">
        <v>12</v>
      </c>
      <c r="H94" s="17">
        <v>3400</v>
      </c>
      <c r="I94" s="18">
        <f t="shared" si="4"/>
        <v>7.5221238938053094</v>
      </c>
      <c r="J94" s="19">
        <v>1</v>
      </c>
      <c r="K94" s="20">
        <f t="shared" si="5"/>
        <v>3116.6666666666665</v>
      </c>
      <c r="L94" s="13" t="s">
        <v>10</v>
      </c>
      <c r="M94" s="21" t="s">
        <v>149</v>
      </c>
    </row>
    <row r="95" spans="1:13">
      <c r="A95" s="13">
        <v>405</v>
      </c>
      <c r="B95" s="13" t="s">
        <v>29</v>
      </c>
      <c r="C95" s="14" t="s">
        <v>27</v>
      </c>
      <c r="D95" s="15">
        <v>451</v>
      </c>
      <c r="E95" s="16">
        <v>45900</v>
      </c>
      <c r="F95" s="16">
        <v>46264</v>
      </c>
      <c r="G95" s="13">
        <v>12</v>
      </c>
      <c r="H95" s="17">
        <v>3400</v>
      </c>
      <c r="I95" s="18">
        <f t="shared" si="4"/>
        <v>7.5388026607538805</v>
      </c>
      <c r="J95" s="19">
        <v>1</v>
      </c>
      <c r="K95" s="20">
        <f t="shared" si="5"/>
        <v>3116.6666666666665</v>
      </c>
      <c r="L95" s="13" t="s">
        <v>2</v>
      </c>
      <c r="M95" s="21" t="s">
        <v>149</v>
      </c>
    </row>
    <row r="96" spans="1:13">
      <c r="A96" s="13">
        <v>406</v>
      </c>
      <c r="B96" s="13" t="s">
        <v>26</v>
      </c>
      <c r="C96" s="14" t="s">
        <v>27</v>
      </c>
      <c r="D96" s="15">
        <v>452</v>
      </c>
      <c r="E96" s="16">
        <v>45868</v>
      </c>
      <c r="F96" s="16">
        <v>46232</v>
      </c>
      <c r="G96" s="13">
        <v>12</v>
      </c>
      <c r="H96" s="17">
        <v>3400</v>
      </c>
      <c r="I96" s="18">
        <f t="shared" si="4"/>
        <v>7.5221238938053094</v>
      </c>
      <c r="J96" s="19">
        <v>1</v>
      </c>
      <c r="K96" s="20">
        <f t="shared" si="5"/>
        <v>3116.6666666666665</v>
      </c>
      <c r="L96" s="13" t="s">
        <v>2</v>
      </c>
      <c r="M96" s="21" t="s">
        <v>149</v>
      </c>
    </row>
    <row r="97" spans="1:13">
      <c r="A97" s="13">
        <v>407</v>
      </c>
      <c r="B97" s="13" t="s">
        <v>29</v>
      </c>
      <c r="C97" s="14" t="s">
        <v>27</v>
      </c>
      <c r="D97" s="15">
        <v>451</v>
      </c>
      <c r="E97" s="16">
        <v>45869</v>
      </c>
      <c r="F97" s="16">
        <v>46233</v>
      </c>
      <c r="G97" s="13">
        <v>12</v>
      </c>
      <c r="H97" s="17">
        <v>3400</v>
      </c>
      <c r="I97" s="18">
        <f t="shared" si="4"/>
        <v>7.5388026607538805</v>
      </c>
      <c r="J97" s="19">
        <v>1</v>
      </c>
      <c r="K97" s="20">
        <f t="shared" si="5"/>
        <v>3116.6666666666665</v>
      </c>
      <c r="L97" s="13" t="s">
        <v>2</v>
      </c>
      <c r="M97" s="21" t="s">
        <v>149</v>
      </c>
    </row>
    <row r="98" spans="1:13">
      <c r="A98" s="13">
        <v>408</v>
      </c>
      <c r="B98" s="13" t="s">
        <v>26</v>
      </c>
      <c r="C98" s="14" t="s">
        <v>27</v>
      </c>
      <c r="D98" s="15">
        <v>452</v>
      </c>
      <c r="E98" s="16">
        <v>45890</v>
      </c>
      <c r="F98" s="16">
        <v>46254</v>
      </c>
      <c r="G98" s="13">
        <v>12</v>
      </c>
      <c r="H98" s="17">
        <v>3400</v>
      </c>
      <c r="I98" s="18">
        <f t="shared" si="4"/>
        <v>7.5221238938053094</v>
      </c>
      <c r="J98" s="19">
        <v>1</v>
      </c>
      <c r="K98" s="20">
        <f t="shared" si="5"/>
        <v>3116.6666666666665</v>
      </c>
      <c r="L98" s="13" t="s">
        <v>10</v>
      </c>
      <c r="M98" s="21" t="s">
        <v>149</v>
      </c>
    </row>
    <row r="99" spans="1:13">
      <c r="A99" s="13">
        <v>409</v>
      </c>
      <c r="B99" s="13" t="s">
        <v>53</v>
      </c>
      <c r="C99" s="14" t="s">
        <v>14</v>
      </c>
      <c r="D99" s="15">
        <v>858</v>
      </c>
      <c r="E99" s="16">
        <v>45900</v>
      </c>
      <c r="F99" s="16">
        <v>46264</v>
      </c>
      <c r="G99" s="13">
        <v>12</v>
      </c>
      <c r="H99" s="17">
        <v>5460</v>
      </c>
      <c r="I99" s="18">
        <f t="shared" si="4"/>
        <v>6.3636363636363633</v>
      </c>
      <c r="J99" s="19">
        <v>1</v>
      </c>
      <c r="K99" s="20">
        <f t="shared" si="5"/>
        <v>5005</v>
      </c>
      <c r="L99" s="13" t="s">
        <v>10</v>
      </c>
      <c r="M99" s="21" t="s">
        <v>149</v>
      </c>
    </row>
    <row r="100" spans="1:13">
      <c r="A100" s="13">
        <v>411</v>
      </c>
      <c r="B100" s="13" t="s">
        <v>26</v>
      </c>
      <c r="C100" s="14" t="s">
        <v>27</v>
      </c>
      <c r="D100" s="15">
        <v>452</v>
      </c>
      <c r="E100" s="16">
        <v>45899</v>
      </c>
      <c r="F100" s="16">
        <v>46172</v>
      </c>
      <c r="G100" s="13">
        <v>12</v>
      </c>
      <c r="H100" s="17">
        <v>3400</v>
      </c>
      <c r="I100" s="18">
        <f t="shared" si="4"/>
        <v>7.5221238938053094</v>
      </c>
      <c r="J100" s="19">
        <v>1</v>
      </c>
      <c r="K100" s="20">
        <f t="shared" si="5"/>
        <v>3116.6666666666665</v>
      </c>
      <c r="L100" s="13" t="s">
        <v>10</v>
      </c>
      <c r="M100" s="21" t="s">
        <v>149</v>
      </c>
    </row>
    <row r="101" spans="1:13">
      <c r="A101" s="13">
        <v>412</v>
      </c>
      <c r="B101" s="13" t="s">
        <v>29</v>
      </c>
      <c r="C101" s="14" t="s">
        <v>27</v>
      </c>
      <c r="D101" s="15">
        <v>451</v>
      </c>
      <c r="E101" s="16">
        <v>45891</v>
      </c>
      <c r="F101" s="16">
        <v>45768</v>
      </c>
      <c r="G101" s="13">
        <v>8</v>
      </c>
      <c r="H101" s="17">
        <v>3400</v>
      </c>
      <c r="I101" s="18">
        <f t="shared" si="4"/>
        <v>7.5388026607538805</v>
      </c>
      <c r="J101" s="19">
        <v>0</v>
      </c>
      <c r="K101" s="20">
        <f t="shared" si="5"/>
        <v>3400</v>
      </c>
      <c r="L101" s="13" t="s">
        <v>10</v>
      </c>
      <c r="M101" s="21" t="s">
        <v>149</v>
      </c>
    </row>
    <row r="102" spans="1:13">
      <c r="A102" s="13">
        <v>413</v>
      </c>
      <c r="B102" s="13" t="s">
        <v>54</v>
      </c>
      <c r="C102" s="14" t="s">
        <v>31</v>
      </c>
      <c r="D102" s="15">
        <v>654</v>
      </c>
      <c r="E102" s="16">
        <v>45885</v>
      </c>
      <c r="F102" s="16">
        <v>46249</v>
      </c>
      <c r="G102" s="13">
        <v>12</v>
      </c>
      <c r="H102" s="17">
        <v>4350</v>
      </c>
      <c r="I102" s="18">
        <f t="shared" si="4"/>
        <v>6.6513761467889907</v>
      </c>
      <c r="J102" s="19">
        <v>1</v>
      </c>
      <c r="K102" s="20">
        <f t="shared" si="5"/>
        <v>3987.5</v>
      </c>
      <c r="L102" s="13" t="s">
        <v>4</v>
      </c>
      <c r="M102" s="21" t="s">
        <v>149</v>
      </c>
    </row>
    <row r="103" spans="1:13">
      <c r="A103" s="13">
        <v>414</v>
      </c>
      <c r="B103" s="13" t="s">
        <v>5</v>
      </c>
      <c r="C103" s="14" t="s">
        <v>1</v>
      </c>
      <c r="D103" s="15">
        <v>677</v>
      </c>
      <c r="E103" s="16">
        <v>45914</v>
      </c>
      <c r="F103" s="16">
        <v>46278</v>
      </c>
      <c r="G103" s="13">
        <v>12</v>
      </c>
      <c r="H103" s="17">
        <v>4385</v>
      </c>
      <c r="I103" s="18">
        <f t="shared" si="4"/>
        <v>6.477104874446086</v>
      </c>
      <c r="J103" s="19">
        <v>1</v>
      </c>
      <c r="K103" s="20">
        <f t="shared" si="5"/>
        <v>4019.5833333333335</v>
      </c>
      <c r="L103" s="13" t="s">
        <v>2</v>
      </c>
      <c r="M103" s="21" t="s">
        <v>149</v>
      </c>
    </row>
    <row r="104" spans="1:13">
      <c r="A104" s="13">
        <v>415</v>
      </c>
      <c r="B104" s="13" t="s">
        <v>66</v>
      </c>
      <c r="C104" s="14" t="s">
        <v>27</v>
      </c>
      <c r="D104" s="15">
        <v>467</v>
      </c>
      <c r="E104" s="16">
        <v>45887</v>
      </c>
      <c r="F104" s="16">
        <v>46251</v>
      </c>
      <c r="G104" s="13">
        <v>12</v>
      </c>
      <c r="H104" s="17">
        <v>3450</v>
      </c>
      <c r="I104" s="18">
        <f t="shared" si="4"/>
        <v>7.3875802997858671</v>
      </c>
      <c r="J104" s="19">
        <v>1</v>
      </c>
      <c r="K104" s="20">
        <f t="shared" si="5"/>
        <v>3162.5</v>
      </c>
      <c r="L104" s="13" t="s">
        <v>10</v>
      </c>
      <c r="M104" s="21" t="s">
        <v>149</v>
      </c>
    </row>
    <row r="105" spans="1:13">
      <c r="A105" s="13">
        <v>416</v>
      </c>
      <c r="B105" s="13" t="s">
        <v>55</v>
      </c>
      <c r="C105" s="14" t="s">
        <v>67</v>
      </c>
      <c r="D105" s="15">
        <v>850</v>
      </c>
      <c r="E105" s="16">
        <v>45828</v>
      </c>
      <c r="F105" s="16">
        <v>46195</v>
      </c>
      <c r="G105" s="13">
        <v>12</v>
      </c>
      <c r="H105" s="17">
        <v>4340</v>
      </c>
      <c r="I105" s="18">
        <f t="shared" si="4"/>
        <v>5.1058823529411761</v>
      </c>
      <c r="J105" s="19">
        <v>1</v>
      </c>
      <c r="K105" s="20">
        <f t="shared" si="5"/>
        <v>3978.3333333333335</v>
      </c>
      <c r="L105" s="13" t="s">
        <v>2</v>
      </c>
      <c r="M105" s="21" t="s">
        <v>149</v>
      </c>
    </row>
    <row r="106" spans="1:13">
      <c r="A106" s="13">
        <v>418</v>
      </c>
      <c r="B106" s="13" t="s">
        <v>34</v>
      </c>
      <c r="C106" s="14" t="s">
        <v>27</v>
      </c>
      <c r="D106" s="15">
        <v>456</v>
      </c>
      <c r="E106" s="16">
        <v>45829</v>
      </c>
      <c r="F106" s="16">
        <v>46193</v>
      </c>
      <c r="G106" s="13">
        <v>12</v>
      </c>
      <c r="H106" s="17">
        <v>4400</v>
      </c>
      <c r="I106" s="18">
        <f t="shared" si="4"/>
        <v>9.6491228070175445</v>
      </c>
      <c r="J106" s="19">
        <v>1</v>
      </c>
      <c r="K106" s="20">
        <f t="shared" si="5"/>
        <v>4033.3333333333335</v>
      </c>
      <c r="L106" s="13" t="s">
        <v>2</v>
      </c>
      <c r="M106" s="21" t="s">
        <v>149</v>
      </c>
    </row>
    <row r="107" spans="1:13">
      <c r="A107" s="13">
        <v>419</v>
      </c>
      <c r="B107" s="13" t="s">
        <v>35</v>
      </c>
      <c r="C107" s="14" t="s">
        <v>27</v>
      </c>
      <c r="D107" s="15">
        <v>456</v>
      </c>
      <c r="E107" s="16">
        <v>45884</v>
      </c>
      <c r="F107" s="16">
        <v>46248</v>
      </c>
      <c r="G107" s="13">
        <v>12</v>
      </c>
      <c r="H107" s="17">
        <v>3400</v>
      </c>
      <c r="I107" s="18">
        <f t="shared" si="4"/>
        <v>7.4561403508771926</v>
      </c>
      <c r="J107" s="19">
        <v>1</v>
      </c>
      <c r="K107" s="20">
        <f t="shared" si="5"/>
        <v>3116.6666666666665</v>
      </c>
      <c r="L107" s="13" t="s">
        <v>4</v>
      </c>
      <c r="M107" s="21" t="s">
        <v>149</v>
      </c>
    </row>
    <row r="108" spans="1:13">
      <c r="A108" s="13">
        <v>420</v>
      </c>
      <c r="B108" s="13" t="s">
        <v>34</v>
      </c>
      <c r="C108" s="14" t="s">
        <v>27</v>
      </c>
      <c r="D108" s="15">
        <v>456</v>
      </c>
      <c r="E108" s="16">
        <v>45884</v>
      </c>
      <c r="F108" s="16">
        <v>46248</v>
      </c>
      <c r="G108" s="13">
        <v>12</v>
      </c>
      <c r="H108" s="17">
        <v>3400</v>
      </c>
      <c r="I108" s="18">
        <f t="shared" si="4"/>
        <v>7.4561403508771926</v>
      </c>
      <c r="J108" s="19">
        <v>1</v>
      </c>
      <c r="K108" s="20">
        <f t="shared" si="5"/>
        <v>3116.6666666666665</v>
      </c>
      <c r="L108" s="13" t="s">
        <v>10</v>
      </c>
      <c r="M108" s="21" t="s">
        <v>149</v>
      </c>
    </row>
    <row r="109" spans="1:13">
      <c r="A109" s="13">
        <v>422</v>
      </c>
      <c r="B109" s="13" t="s">
        <v>15</v>
      </c>
      <c r="C109" s="14" t="s">
        <v>31</v>
      </c>
      <c r="D109" s="15">
        <v>684</v>
      </c>
      <c r="E109" s="16">
        <v>45837</v>
      </c>
      <c r="F109" s="16">
        <v>46201</v>
      </c>
      <c r="G109" s="13">
        <v>12</v>
      </c>
      <c r="H109" s="17">
        <v>4410</v>
      </c>
      <c r="I109" s="18">
        <f t="shared" si="4"/>
        <v>6.4473684210526319</v>
      </c>
      <c r="J109" s="19">
        <v>1</v>
      </c>
      <c r="K109" s="20">
        <f t="shared" si="5"/>
        <v>4042.5</v>
      </c>
      <c r="L109" s="13" t="s">
        <v>10</v>
      </c>
      <c r="M109" s="21" t="s">
        <v>149</v>
      </c>
    </row>
    <row r="110" spans="1:13">
      <c r="A110" s="13">
        <v>424</v>
      </c>
      <c r="B110" s="13" t="s">
        <v>68</v>
      </c>
      <c r="C110" s="14" t="s">
        <v>31</v>
      </c>
      <c r="D110" s="15">
        <v>684</v>
      </c>
      <c r="E110" s="16">
        <v>45642</v>
      </c>
      <c r="F110" s="16">
        <v>46492</v>
      </c>
      <c r="G110" s="13">
        <v>28</v>
      </c>
      <c r="H110" s="17">
        <v>4260</v>
      </c>
      <c r="I110" s="18">
        <f t="shared" si="4"/>
        <v>6.2280701754385968</v>
      </c>
      <c r="J110" s="19">
        <v>2</v>
      </c>
      <c r="K110" s="20">
        <f t="shared" si="5"/>
        <v>3955.7142857142858</v>
      </c>
      <c r="L110" s="13" t="s">
        <v>59</v>
      </c>
      <c r="M110" s="21" t="s">
        <v>149</v>
      </c>
    </row>
    <row r="111" spans="1:13">
      <c r="A111" s="13">
        <v>425</v>
      </c>
      <c r="B111" s="13" t="s">
        <v>34</v>
      </c>
      <c r="C111" s="14" t="s">
        <v>27</v>
      </c>
      <c r="D111" s="15">
        <v>456</v>
      </c>
      <c r="E111" s="16">
        <v>45869</v>
      </c>
      <c r="F111" s="16">
        <v>46233</v>
      </c>
      <c r="G111" s="13">
        <v>12</v>
      </c>
      <c r="H111" s="17">
        <v>3440</v>
      </c>
      <c r="I111" s="18">
        <f t="shared" si="4"/>
        <v>7.5438596491228074</v>
      </c>
      <c r="J111" s="19">
        <v>1</v>
      </c>
      <c r="K111" s="20">
        <f t="shared" si="5"/>
        <v>3153.3333333333335</v>
      </c>
      <c r="L111" s="13" t="s">
        <v>10</v>
      </c>
      <c r="M111" s="21" t="s">
        <v>149</v>
      </c>
    </row>
    <row r="112" spans="1:13">
      <c r="A112" s="13">
        <v>426</v>
      </c>
      <c r="B112" s="13" t="s">
        <v>35</v>
      </c>
      <c r="C112" s="14" t="s">
        <v>27</v>
      </c>
      <c r="D112" s="15">
        <v>456</v>
      </c>
      <c r="E112" s="16">
        <v>45838</v>
      </c>
      <c r="F112" s="16">
        <v>46202</v>
      </c>
      <c r="G112" s="13">
        <v>12</v>
      </c>
      <c r="H112" s="17">
        <v>3440</v>
      </c>
      <c r="I112" s="18">
        <f t="shared" si="4"/>
        <v>7.5438596491228074</v>
      </c>
      <c r="J112" s="19">
        <v>1</v>
      </c>
      <c r="K112" s="20">
        <f t="shared" si="5"/>
        <v>3153.3333333333335</v>
      </c>
      <c r="L112" s="13" t="s">
        <v>10</v>
      </c>
      <c r="M112" s="21" t="s">
        <v>149</v>
      </c>
    </row>
    <row r="113" spans="1:13">
      <c r="A113" s="13">
        <v>427</v>
      </c>
      <c r="B113" s="13" t="s">
        <v>34</v>
      </c>
      <c r="C113" s="14" t="s">
        <v>27</v>
      </c>
      <c r="D113" s="15">
        <v>456</v>
      </c>
      <c r="E113" s="16">
        <v>45869</v>
      </c>
      <c r="F113" s="16">
        <v>46233</v>
      </c>
      <c r="G113" s="13">
        <v>12</v>
      </c>
      <c r="H113" s="17">
        <v>3440</v>
      </c>
      <c r="I113" s="18">
        <f t="shared" si="4"/>
        <v>7.5438596491228074</v>
      </c>
      <c r="J113" s="19">
        <v>1</v>
      </c>
      <c r="K113" s="20">
        <f t="shared" si="5"/>
        <v>3153.3333333333335</v>
      </c>
      <c r="L113" s="13" t="s">
        <v>10</v>
      </c>
      <c r="M113" s="21" t="s">
        <v>149</v>
      </c>
    </row>
    <row r="114" spans="1:13">
      <c r="A114" s="13">
        <v>428</v>
      </c>
      <c r="B114" s="13" t="s">
        <v>32</v>
      </c>
      <c r="C114" s="14" t="s">
        <v>27</v>
      </c>
      <c r="D114" s="15">
        <v>456</v>
      </c>
      <c r="E114" s="16">
        <v>45709</v>
      </c>
      <c r="F114" s="16">
        <v>46073</v>
      </c>
      <c r="G114" s="13">
        <v>12</v>
      </c>
      <c r="H114" s="17">
        <v>3740</v>
      </c>
      <c r="I114" s="18">
        <f t="shared" si="4"/>
        <v>8.2017543859649127</v>
      </c>
      <c r="J114" s="19">
        <v>1</v>
      </c>
      <c r="K114" s="20">
        <f t="shared" si="5"/>
        <v>3428.3333333333335</v>
      </c>
      <c r="L114" s="13" t="s">
        <v>69</v>
      </c>
      <c r="M114" s="21" t="s">
        <v>149</v>
      </c>
    </row>
    <row r="115" spans="1:13">
      <c r="A115" s="13">
        <v>429</v>
      </c>
      <c r="B115" s="13" t="s">
        <v>34</v>
      </c>
      <c r="C115" s="14" t="s">
        <v>27</v>
      </c>
      <c r="D115" s="15">
        <v>456</v>
      </c>
      <c r="E115" s="16">
        <v>45807</v>
      </c>
      <c r="F115" s="16">
        <v>46171</v>
      </c>
      <c r="G115" s="13">
        <v>12</v>
      </c>
      <c r="H115" s="17">
        <v>3440</v>
      </c>
      <c r="I115" s="18">
        <f t="shared" si="4"/>
        <v>7.5438596491228074</v>
      </c>
      <c r="J115" s="19">
        <v>1</v>
      </c>
      <c r="K115" s="20">
        <f t="shared" si="5"/>
        <v>3153.3333333333335</v>
      </c>
      <c r="L115" s="13" t="s">
        <v>10</v>
      </c>
      <c r="M115" s="21" t="s">
        <v>149</v>
      </c>
    </row>
    <row r="116" spans="1:13">
      <c r="A116" s="13">
        <v>434</v>
      </c>
      <c r="B116" s="13" t="s">
        <v>38</v>
      </c>
      <c r="C116" s="14" t="s">
        <v>27</v>
      </c>
      <c r="D116" s="15">
        <v>511</v>
      </c>
      <c r="E116" s="16">
        <v>45884</v>
      </c>
      <c r="F116" s="16">
        <v>46248</v>
      </c>
      <c r="G116" s="13">
        <v>12</v>
      </c>
      <c r="H116" s="17">
        <v>3450</v>
      </c>
      <c r="I116" s="18">
        <f t="shared" si="4"/>
        <v>6.7514677103718199</v>
      </c>
      <c r="J116" s="19">
        <v>1</v>
      </c>
      <c r="K116" s="20">
        <f t="shared" si="5"/>
        <v>3162.5</v>
      </c>
      <c r="L116" s="13" t="s">
        <v>2</v>
      </c>
      <c r="M116" s="21" t="s">
        <v>149</v>
      </c>
    </row>
    <row r="117" spans="1:13">
      <c r="A117" s="13">
        <v>435</v>
      </c>
      <c r="B117" s="13" t="s">
        <v>60</v>
      </c>
      <c r="C117" s="14" t="s">
        <v>9</v>
      </c>
      <c r="D117" s="15">
        <v>974</v>
      </c>
      <c r="E117" s="16">
        <v>45555</v>
      </c>
      <c r="F117" s="16">
        <v>45919</v>
      </c>
      <c r="G117" s="13">
        <v>12</v>
      </c>
      <c r="H117" s="17">
        <v>5780</v>
      </c>
      <c r="I117" s="18">
        <f t="shared" si="4"/>
        <v>5.9342915811088295</v>
      </c>
      <c r="J117" s="19">
        <v>1</v>
      </c>
      <c r="K117" s="20">
        <f t="shared" si="5"/>
        <v>5298.333333333333</v>
      </c>
      <c r="L117" s="13" t="s">
        <v>69</v>
      </c>
      <c r="M117" s="21" t="s">
        <v>149</v>
      </c>
    </row>
    <row r="118" spans="1:13">
      <c r="A118" s="13">
        <v>436</v>
      </c>
      <c r="B118" s="13" t="s">
        <v>39</v>
      </c>
      <c r="C118" s="14" t="s">
        <v>14</v>
      </c>
      <c r="D118" s="14">
        <v>1159</v>
      </c>
      <c r="E118" s="16">
        <v>45957</v>
      </c>
      <c r="F118" s="16">
        <v>45956</v>
      </c>
      <c r="G118" s="13">
        <v>12</v>
      </c>
      <c r="H118" s="17">
        <v>6190</v>
      </c>
      <c r="I118" s="18">
        <f t="shared" si="4"/>
        <v>5.3408110440034511</v>
      </c>
      <c r="J118" s="19">
        <v>1</v>
      </c>
      <c r="K118" s="20">
        <f t="shared" si="5"/>
        <v>5674.166666666667</v>
      </c>
      <c r="L118" s="13" t="s">
        <v>10</v>
      </c>
      <c r="M118" s="21" t="s">
        <v>149</v>
      </c>
    </row>
    <row r="119" spans="1:13">
      <c r="A119" s="13">
        <v>437</v>
      </c>
      <c r="B119" s="13" t="s">
        <v>40</v>
      </c>
      <c r="C119" s="14" t="s">
        <v>16</v>
      </c>
      <c r="D119" s="15">
        <v>685</v>
      </c>
      <c r="E119" s="16">
        <v>45838</v>
      </c>
      <c r="F119" s="16">
        <v>46202</v>
      </c>
      <c r="G119" s="13">
        <v>12</v>
      </c>
      <c r="H119" s="17">
        <v>4010</v>
      </c>
      <c r="I119" s="18">
        <f t="shared" si="4"/>
        <v>5.8540145985401457</v>
      </c>
      <c r="J119" s="19">
        <v>1</v>
      </c>
      <c r="K119" s="20">
        <f t="shared" si="5"/>
        <v>3675.8333333333335</v>
      </c>
      <c r="L119" s="13" t="s">
        <v>10</v>
      </c>
      <c r="M119" s="21" t="s">
        <v>149</v>
      </c>
    </row>
    <row r="120" spans="1:13">
      <c r="A120" s="13">
        <v>438</v>
      </c>
      <c r="B120" s="13" t="s">
        <v>41</v>
      </c>
      <c r="C120" s="14" t="s">
        <v>31</v>
      </c>
      <c r="D120" s="15">
        <v>768</v>
      </c>
      <c r="E120" s="16">
        <v>45550</v>
      </c>
      <c r="F120" s="16">
        <v>45901</v>
      </c>
      <c r="G120" s="13">
        <v>12</v>
      </c>
      <c r="H120" s="17">
        <v>4240</v>
      </c>
      <c r="I120" s="18">
        <f t="shared" si="4"/>
        <v>5.520833333333333</v>
      </c>
      <c r="J120" s="19">
        <v>1.5</v>
      </c>
      <c r="K120" s="20">
        <f t="shared" si="5"/>
        <v>3710</v>
      </c>
      <c r="L120" s="13" t="s">
        <v>2</v>
      </c>
      <c r="M120" s="21" t="s">
        <v>149</v>
      </c>
    </row>
    <row r="121" spans="1:13">
      <c r="A121" s="13">
        <v>439</v>
      </c>
      <c r="B121" s="13" t="s">
        <v>70</v>
      </c>
      <c r="C121" s="14" t="s">
        <v>71</v>
      </c>
      <c r="D121" s="15">
        <v>841</v>
      </c>
      <c r="E121" s="16">
        <v>45983</v>
      </c>
      <c r="F121" s="16">
        <v>46286</v>
      </c>
      <c r="G121" s="13">
        <v>12</v>
      </c>
      <c r="H121" s="17">
        <v>4900</v>
      </c>
      <c r="I121" s="18">
        <f t="shared" si="4"/>
        <v>5.8263971462544593</v>
      </c>
      <c r="J121" s="19">
        <v>0</v>
      </c>
      <c r="K121" s="20">
        <f t="shared" si="5"/>
        <v>4900</v>
      </c>
      <c r="L121" s="13" t="s">
        <v>4</v>
      </c>
      <c r="M121" s="21" t="s">
        <v>149</v>
      </c>
    </row>
    <row r="122" spans="1:13">
      <c r="A122" s="13">
        <v>440</v>
      </c>
      <c r="B122" s="13" t="s">
        <v>44</v>
      </c>
      <c r="C122" s="14" t="s">
        <v>31</v>
      </c>
      <c r="D122" s="14">
        <v>770</v>
      </c>
      <c r="E122" s="16">
        <v>45550</v>
      </c>
      <c r="F122" s="16">
        <v>45900</v>
      </c>
      <c r="G122" s="13">
        <v>12</v>
      </c>
      <c r="H122" s="17">
        <v>4405</v>
      </c>
      <c r="I122" s="18">
        <f t="shared" si="4"/>
        <v>5.720779220779221</v>
      </c>
      <c r="J122" s="19">
        <v>1.5</v>
      </c>
      <c r="K122" s="20">
        <f t="shared" si="5"/>
        <v>3854.375</v>
      </c>
      <c r="L122" s="13" t="s">
        <v>2</v>
      </c>
      <c r="M122" s="21" t="s">
        <v>149</v>
      </c>
    </row>
    <row r="123" spans="1:13">
      <c r="A123" s="13">
        <v>441</v>
      </c>
      <c r="B123" s="16" t="s">
        <v>45</v>
      </c>
      <c r="C123" s="14" t="s">
        <v>16</v>
      </c>
      <c r="D123" s="14">
        <v>657</v>
      </c>
      <c r="E123" s="22">
        <v>45550</v>
      </c>
      <c r="F123" s="16">
        <v>45914</v>
      </c>
      <c r="G123" s="13">
        <v>12</v>
      </c>
      <c r="H123" s="17">
        <v>4020</v>
      </c>
      <c r="I123" s="18">
        <f t="shared" si="4"/>
        <v>6.1187214611872145</v>
      </c>
      <c r="J123" s="19">
        <v>1.5</v>
      </c>
      <c r="K123" s="20">
        <f t="shared" si="5"/>
        <v>3517.5</v>
      </c>
      <c r="L123" s="13" t="s">
        <v>7</v>
      </c>
      <c r="M123" s="21" t="s">
        <v>149</v>
      </c>
    </row>
    <row r="124" spans="1:13">
      <c r="A124" s="13">
        <v>442</v>
      </c>
      <c r="B124" s="13" t="s">
        <v>46</v>
      </c>
      <c r="C124" s="14" t="s">
        <v>14</v>
      </c>
      <c r="D124" s="15">
        <v>1228</v>
      </c>
      <c r="E124" s="16">
        <v>45743</v>
      </c>
      <c r="F124" s="16">
        <v>46107</v>
      </c>
      <c r="G124" s="13">
        <v>12</v>
      </c>
      <c r="H124" s="17">
        <v>6340</v>
      </c>
      <c r="I124" s="18">
        <f t="shared" si="4"/>
        <v>5.1628664495114007</v>
      </c>
      <c r="J124" s="19">
        <v>1</v>
      </c>
      <c r="K124" s="20">
        <f t="shared" si="5"/>
        <v>5811.666666666667</v>
      </c>
      <c r="L124" s="13" t="s">
        <v>69</v>
      </c>
      <c r="M124" s="21" t="s">
        <v>149</v>
      </c>
    </row>
    <row r="125" spans="1:13">
      <c r="A125" s="13">
        <v>443</v>
      </c>
      <c r="B125" s="13" t="s">
        <v>47</v>
      </c>
      <c r="C125" s="14" t="s">
        <v>9</v>
      </c>
      <c r="D125" s="15">
        <v>1228</v>
      </c>
      <c r="E125" s="16">
        <v>45869</v>
      </c>
      <c r="F125" s="16">
        <v>46233</v>
      </c>
      <c r="G125" s="13">
        <v>12</v>
      </c>
      <c r="H125" s="17">
        <v>6240</v>
      </c>
      <c r="I125" s="18">
        <f t="shared" si="4"/>
        <v>5.0814332247556999</v>
      </c>
      <c r="J125" s="19">
        <v>1</v>
      </c>
      <c r="K125" s="20">
        <f t="shared" si="5"/>
        <v>5720</v>
      </c>
      <c r="L125" s="13" t="s">
        <v>10</v>
      </c>
      <c r="M125" s="21" t="s">
        <v>149</v>
      </c>
    </row>
    <row r="126" spans="1:13">
      <c r="A126" s="13">
        <v>444</v>
      </c>
      <c r="B126" s="13" t="s">
        <v>63</v>
      </c>
      <c r="C126" s="14" t="s">
        <v>16</v>
      </c>
      <c r="D126" s="15">
        <v>701</v>
      </c>
      <c r="E126" s="16">
        <v>45839</v>
      </c>
      <c r="F126" s="16">
        <v>46203</v>
      </c>
      <c r="G126" s="13">
        <v>12</v>
      </c>
      <c r="H126" s="17">
        <v>4210</v>
      </c>
      <c r="I126" s="18">
        <f t="shared" si="4"/>
        <v>6.0057061340941509</v>
      </c>
      <c r="J126" s="19">
        <v>1</v>
      </c>
      <c r="K126" s="20">
        <f t="shared" si="5"/>
        <v>3859.1666666666665</v>
      </c>
      <c r="L126" s="13" t="s">
        <v>10</v>
      </c>
      <c r="M126" s="21" t="s">
        <v>149</v>
      </c>
    </row>
    <row r="127" spans="1:13">
      <c r="A127" s="13">
        <v>445</v>
      </c>
      <c r="B127" s="13" t="s">
        <v>62</v>
      </c>
      <c r="C127" s="14" t="s">
        <v>1</v>
      </c>
      <c r="D127" s="15">
        <v>768</v>
      </c>
      <c r="E127" s="16">
        <v>45582</v>
      </c>
      <c r="F127" s="16">
        <v>45946</v>
      </c>
      <c r="G127" s="13">
        <v>12</v>
      </c>
      <c r="H127" s="17">
        <v>4440</v>
      </c>
      <c r="I127" s="18">
        <f t="shared" si="4"/>
        <v>5.78125</v>
      </c>
      <c r="J127" s="19">
        <v>1</v>
      </c>
      <c r="K127" s="20">
        <f t="shared" si="5"/>
        <v>4070</v>
      </c>
      <c r="L127" s="13" t="s">
        <v>2</v>
      </c>
      <c r="M127" s="21" t="s">
        <v>149</v>
      </c>
    </row>
    <row r="128" spans="1:13">
      <c r="A128" s="13">
        <v>446</v>
      </c>
      <c r="B128" s="13" t="s">
        <v>42</v>
      </c>
      <c r="C128" s="14" t="s">
        <v>25</v>
      </c>
      <c r="D128" s="15">
        <v>841</v>
      </c>
      <c r="E128" s="16">
        <v>45747</v>
      </c>
      <c r="F128" s="16">
        <v>46295</v>
      </c>
      <c r="G128" s="13">
        <v>12</v>
      </c>
      <c r="H128" s="17">
        <v>4690</v>
      </c>
      <c r="I128" s="18">
        <f t="shared" si="4"/>
        <v>5.5766944114149819</v>
      </c>
      <c r="J128" s="19">
        <v>1</v>
      </c>
      <c r="K128" s="20">
        <f t="shared" si="5"/>
        <v>4299.166666666667</v>
      </c>
      <c r="L128" s="13" t="s">
        <v>69</v>
      </c>
      <c r="M128" s="21" t="s">
        <v>149</v>
      </c>
    </row>
    <row r="129" spans="1:13">
      <c r="A129" s="13">
        <v>447</v>
      </c>
      <c r="B129" s="13" t="s">
        <v>44</v>
      </c>
      <c r="C129" s="14" t="s">
        <v>31</v>
      </c>
      <c r="D129" s="15">
        <v>770</v>
      </c>
      <c r="E129" s="16">
        <v>45652</v>
      </c>
      <c r="F129" s="16">
        <v>46016</v>
      </c>
      <c r="G129" s="13">
        <v>12</v>
      </c>
      <c r="H129" s="17">
        <v>3550</v>
      </c>
      <c r="I129" s="18">
        <f t="shared" si="4"/>
        <v>4.6103896103896105</v>
      </c>
      <c r="J129" s="19">
        <v>1</v>
      </c>
      <c r="K129" s="20">
        <f t="shared" si="5"/>
        <v>3254.1666666666665</v>
      </c>
      <c r="L129" s="13" t="s">
        <v>10</v>
      </c>
      <c r="M129" s="21" t="s">
        <v>149</v>
      </c>
    </row>
    <row r="130" spans="1:13">
      <c r="A130" s="13">
        <v>448</v>
      </c>
      <c r="B130" s="13" t="s">
        <v>72</v>
      </c>
      <c r="C130" s="14" t="s">
        <v>73</v>
      </c>
      <c r="D130" s="15">
        <v>686</v>
      </c>
      <c r="E130" s="16">
        <v>45889</v>
      </c>
      <c r="F130" s="16">
        <v>46253</v>
      </c>
      <c r="G130" s="13">
        <v>12</v>
      </c>
      <c r="H130" s="17">
        <v>5210</v>
      </c>
      <c r="I130" s="18">
        <f t="shared" si="4"/>
        <v>7.5947521865889209</v>
      </c>
      <c r="J130" s="19">
        <v>1</v>
      </c>
      <c r="K130" s="20">
        <f t="shared" si="5"/>
        <v>4775.833333333333</v>
      </c>
      <c r="L130" s="13" t="s">
        <v>4</v>
      </c>
      <c r="M130" s="21" t="s">
        <v>149</v>
      </c>
    </row>
    <row r="131" spans="1:13">
      <c r="A131" s="13">
        <v>450</v>
      </c>
      <c r="B131" s="13" t="s">
        <v>36</v>
      </c>
      <c r="C131" s="14" t="s">
        <v>9</v>
      </c>
      <c r="D131" s="15">
        <v>974</v>
      </c>
      <c r="E131" s="16">
        <v>45621</v>
      </c>
      <c r="F131" s="16">
        <v>46501</v>
      </c>
      <c r="G131" s="13">
        <v>29</v>
      </c>
      <c r="H131" s="17">
        <v>5780</v>
      </c>
      <c r="I131" s="18">
        <f t="shared" si="4"/>
        <v>5.9342915811088295</v>
      </c>
      <c r="J131" s="19">
        <v>2</v>
      </c>
      <c r="K131" s="20">
        <f t="shared" si="5"/>
        <v>5381.3793103448279</v>
      </c>
      <c r="L131" s="13" t="s">
        <v>7</v>
      </c>
      <c r="M131" s="21" t="s">
        <v>149</v>
      </c>
    </row>
    <row r="132" spans="1:13">
      <c r="A132" s="13">
        <v>451</v>
      </c>
      <c r="B132" s="13" t="s">
        <v>74</v>
      </c>
      <c r="C132" s="14" t="s">
        <v>14</v>
      </c>
      <c r="D132" s="15">
        <v>1209</v>
      </c>
      <c r="E132" s="16">
        <v>45604</v>
      </c>
      <c r="F132" s="16">
        <v>46453</v>
      </c>
      <c r="G132" s="13">
        <v>28</v>
      </c>
      <c r="H132" s="17">
        <v>6010</v>
      </c>
      <c r="I132" s="18">
        <f t="shared" si="4"/>
        <v>4.9710504549214223</v>
      </c>
      <c r="J132" s="19">
        <v>2</v>
      </c>
      <c r="K132" s="20">
        <f t="shared" si="5"/>
        <v>5580.7142857142853</v>
      </c>
      <c r="L132" s="13" t="s">
        <v>7</v>
      </c>
      <c r="M132" s="21" t="s">
        <v>149</v>
      </c>
    </row>
    <row r="133" spans="1:13">
      <c r="A133" s="13">
        <v>452</v>
      </c>
      <c r="B133" s="13" t="s">
        <v>75</v>
      </c>
      <c r="C133" s="14" t="s">
        <v>25</v>
      </c>
      <c r="D133" s="15">
        <v>1060</v>
      </c>
      <c r="E133" s="16">
        <v>45747</v>
      </c>
      <c r="F133" s="16">
        <v>46111</v>
      </c>
      <c r="G133" s="13">
        <v>12</v>
      </c>
      <c r="H133" s="17">
        <v>4880</v>
      </c>
      <c r="I133" s="18">
        <f t="shared" ref="I133:I202" si="6">H133/D133</f>
        <v>4.6037735849056602</v>
      </c>
      <c r="J133" s="19">
        <v>1</v>
      </c>
      <c r="K133" s="20">
        <f t="shared" si="5"/>
        <v>4473.333333333333</v>
      </c>
      <c r="L133" s="13" t="s">
        <v>10</v>
      </c>
      <c r="M133" s="21" t="s">
        <v>149</v>
      </c>
    </row>
    <row r="134" spans="1:13">
      <c r="A134" s="13">
        <v>454</v>
      </c>
      <c r="B134" s="13" t="s">
        <v>76</v>
      </c>
      <c r="C134" s="14" t="s">
        <v>27</v>
      </c>
      <c r="D134" s="15">
        <v>467</v>
      </c>
      <c r="E134" s="16">
        <v>45869</v>
      </c>
      <c r="F134" s="16">
        <v>46233</v>
      </c>
      <c r="G134" s="13">
        <v>12</v>
      </c>
      <c r="H134" s="17">
        <v>3740</v>
      </c>
      <c r="I134" s="18">
        <f t="shared" si="6"/>
        <v>8.0085653104925054</v>
      </c>
      <c r="J134" s="19">
        <v>1</v>
      </c>
      <c r="K134" s="20">
        <f t="shared" si="5"/>
        <v>3428.3333333333335</v>
      </c>
      <c r="L134" s="13" t="s">
        <v>10</v>
      </c>
      <c r="M134" s="21" t="s">
        <v>149</v>
      </c>
    </row>
    <row r="135" spans="1:13">
      <c r="A135" s="13">
        <v>456</v>
      </c>
      <c r="B135" s="13" t="s">
        <v>77</v>
      </c>
      <c r="C135" s="14" t="s">
        <v>25</v>
      </c>
      <c r="D135" s="15">
        <v>889</v>
      </c>
      <c r="E135" s="16">
        <v>45834</v>
      </c>
      <c r="F135" s="16">
        <v>45833</v>
      </c>
      <c r="G135" s="13">
        <v>12</v>
      </c>
      <c r="H135" s="17">
        <v>4790</v>
      </c>
      <c r="I135" s="18">
        <f t="shared" si="6"/>
        <v>5.3880764904386949</v>
      </c>
      <c r="J135" s="19">
        <v>1</v>
      </c>
      <c r="K135" s="20">
        <f t="shared" si="5"/>
        <v>4390.833333333333</v>
      </c>
      <c r="L135" s="13" t="s">
        <v>10</v>
      </c>
      <c r="M135" s="21" t="s">
        <v>149</v>
      </c>
    </row>
    <row r="136" spans="1:13">
      <c r="A136" s="13">
        <v>501</v>
      </c>
      <c r="B136" s="13" t="s">
        <v>65</v>
      </c>
      <c r="C136" s="14" t="s">
        <v>14</v>
      </c>
      <c r="D136" s="15">
        <v>1045</v>
      </c>
      <c r="E136" s="16">
        <v>45696</v>
      </c>
      <c r="F136" s="16">
        <v>46080</v>
      </c>
      <c r="G136" s="13">
        <v>12</v>
      </c>
      <c r="H136" s="17">
        <v>5900</v>
      </c>
      <c r="I136" s="18">
        <f t="shared" si="6"/>
        <v>5.6459330143540667</v>
      </c>
      <c r="J136" s="19">
        <v>1</v>
      </c>
      <c r="K136" s="20">
        <f t="shared" si="5"/>
        <v>5408.333333333333</v>
      </c>
      <c r="L136" s="13" t="s">
        <v>2</v>
      </c>
      <c r="M136" s="21" t="s">
        <v>149</v>
      </c>
    </row>
    <row r="137" spans="1:13">
      <c r="A137" s="13">
        <v>502</v>
      </c>
      <c r="B137" s="13" t="s">
        <v>78</v>
      </c>
      <c r="C137" s="14" t="s">
        <v>27</v>
      </c>
      <c r="D137" s="15">
        <v>452</v>
      </c>
      <c r="E137" s="16">
        <v>45862</v>
      </c>
      <c r="F137" s="16">
        <v>46226</v>
      </c>
      <c r="G137" s="13">
        <v>12</v>
      </c>
      <c r="H137" s="17">
        <v>3800</v>
      </c>
      <c r="I137" s="18">
        <f t="shared" si="6"/>
        <v>8.4070796460176993</v>
      </c>
      <c r="J137" s="19">
        <v>1</v>
      </c>
      <c r="K137" s="20">
        <f t="shared" si="5"/>
        <v>3483.3333333333335</v>
      </c>
      <c r="L137" s="13" t="s">
        <v>10</v>
      </c>
      <c r="M137" s="21" t="s">
        <v>149</v>
      </c>
    </row>
    <row r="138" spans="1:13">
      <c r="A138" s="13">
        <v>503</v>
      </c>
      <c r="B138" s="13" t="s">
        <v>29</v>
      </c>
      <c r="C138" s="14" t="s">
        <v>27</v>
      </c>
      <c r="D138" s="15">
        <v>451</v>
      </c>
      <c r="E138" s="16">
        <v>45858</v>
      </c>
      <c r="F138" s="16">
        <v>46232</v>
      </c>
      <c r="G138" s="13">
        <v>12</v>
      </c>
      <c r="H138" s="17">
        <v>3500</v>
      </c>
      <c r="I138" s="18">
        <f t="shared" si="6"/>
        <v>7.7605321507760534</v>
      </c>
      <c r="J138" s="19">
        <v>1</v>
      </c>
      <c r="K138" s="20">
        <f t="shared" si="5"/>
        <v>3208.3333333333335</v>
      </c>
      <c r="L138" s="13" t="s">
        <v>10</v>
      </c>
      <c r="M138" s="21" t="s">
        <v>149</v>
      </c>
    </row>
    <row r="139" spans="1:13">
      <c r="A139" s="13">
        <v>504</v>
      </c>
      <c r="B139" s="13" t="s">
        <v>26</v>
      </c>
      <c r="C139" s="14" t="s">
        <v>27</v>
      </c>
      <c r="D139" s="15">
        <v>452</v>
      </c>
      <c r="E139" s="16">
        <v>45862</v>
      </c>
      <c r="F139" s="16">
        <v>46226</v>
      </c>
      <c r="G139" s="13">
        <v>12</v>
      </c>
      <c r="H139" s="17">
        <v>3500</v>
      </c>
      <c r="I139" s="18">
        <f t="shared" si="6"/>
        <v>7.7433628318584073</v>
      </c>
      <c r="J139" s="19">
        <v>1</v>
      </c>
      <c r="K139" s="20">
        <f t="shared" si="5"/>
        <v>3208.3333333333335</v>
      </c>
      <c r="L139" s="13" t="s">
        <v>2</v>
      </c>
      <c r="M139" s="21" t="s">
        <v>149</v>
      </c>
    </row>
    <row r="140" spans="1:13">
      <c r="A140" s="13">
        <v>505</v>
      </c>
      <c r="B140" s="13" t="s">
        <v>29</v>
      </c>
      <c r="C140" s="14" t="s">
        <v>27</v>
      </c>
      <c r="D140" s="15">
        <v>451</v>
      </c>
      <c r="E140" s="16">
        <v>45870</v>
      </c>
      <c r="F140" s="16">
        <v>46234</v>
      </c>
      <c r="G140" s="13">
        <v>12</v>
      </c>
      <c r="H140" s="17">
        <v>3500</v>
      </c>
      <c r="I140" s="18">
        <f t="shared" si="6"/>
        <v>7.7605321507760534</v>
      </c>
      <c r="J140" s="19">
        <v>1</v>
      </c>
      <c r="K140" s="20">
        <f t="shared" si="5"/>
        <v>3208.3333333333335</v>
      </c>
      <c r="L140" s="13" t="s">
        <v>2</v>
      </c>
      <c r="M140" s="21" t="s">
        <v>149</v>
      </c>
    </row>
    <row r="141" spans="1:13">
      <c r="A141" s="13">
        <v>506</v>
      </c>
      <c r="B141" s="13" t="s">
        <v>26</v>
      </c>
      <c r="C141" s="14" t="s">
        <v>27</v>
      </c>
      <c r="D141" s="15">
        <v>452</v>
      </c>
      <c r="E141" s="16">
        <v>45870</v>
      </c>
      <c r="F141" s="16">
        <v>46234</v>
      </c>
      <c r="G141" s="13">
        <v>12</v>
      </c>
      <c r="H141" s="17">
        <v>3500</v>
      </c>
      <c r="I141" s="18">
        <f t="shared" si="6"/>
        <v>7.7433628318584073</v>
      </c>
      <c r="J141" s="19">
        <v>1</v>
      </c>
      <c r="K141" s="20">
        <f t="shared" si="5"/>
        <v>3208.3333333333335</v>
      </c>
      <c r="L141" s="13" t="s">
        <v>10</v>
      </c>
      <c r="M141" s="21" t="s">
        <v>149</v>
      </c>
    </row>
    <row r="142" spans="1:13">
      <c r="A142" s="13">
        <v>507</v>
      </c>
      <c r="B142" s="13" t="s">
        <v>29</v>
      </c>
      <c r="C142" s="14" t="s">
        <v>27</v>
      </c>
      <c r="D142" s="15">
        <v>451</v>
      </c>
      <c r="E142" s="16">
        <v>45829</v>
      </c>
      <c r="F142" s="16">
        <v>46193</v>
      </c>
      <c r="G142" s="13">
        <v>12</v>
      </c>
      <c r="H142" s="17">
        <v>3500</v>
      </c>
      <c r="I142" s="18">
        <f t="shared" si="6"/>
        <v>7.7605321507760534</v>
      </c>
      <c r="J142" s="19">
        <v>1</v>
      </c>
      <c r="K142" s="20">
        <f t="shared" si="5"/>
        <v>3208.3333333333335</v>
      </c>
      <c r="L142" s="13" t="s">
        <v>2</v>
      </c>
      <c r="M142" s="21" t="s">
        <v>149</v>
      </c>
    </row>
    <row r="143" spans="1:13">
      <c r="A143" s="13">
        <v>508</v>
      </c>
      <c r="B143" s="13" t="s">
        <v>26</v>
      </c>
      <c r="C143" s="14" t="s">
        <v>27</v>
      </c>
      <c r="D143" s="15">
        <v>452</v>
      </c>
      <c r="E143" s="16">
        <v>45866</v>
      </c>
      <c r="F143" s="16">
        <v>46230</v>
      </c>
      <c r="G143" s="13">
        <v>12</v>
      </c>
      <c r="H143" s="17">
        <v>3500</v>
      </c>
      <c r="I143" s="18">
        <f t="shared" si="6"/>
        <v>7.7433628318584073</v>
      </c>
      <c r="J143" s="19">
        <v>1</v>
      </c>
      <c r="K143" s="20">
        <f t="shared" si="5"/>
        <v>3208.3333333333335</v>
      </c>
      <c r="L143" s="13" t="s">
        <v>2</v>
      </c>
      <c r="M143" s="21" t="s">
        <v>149</v>
      </c>
    </row>
    <row r="144" spans="1:13">
      <c r="A144" s="13">
        <v>510</v>
      </c>
      <c r="B144" s="13" t="s">
        <v>79</v>
      </c>
      <c r="C144" s="14" t="s">
        <v>9</v>
      </c>
      <c r="D144" s="15">
        <v>844</v>
      </c>
      <c r="E144" s="16">
        <v>45869</v>
      </c>
      <c r="F144" s="16">
        <v>46233</v>
      </c>
      <c r="G144" s="13">
        <v>12</v>
      </c>
      <c r="H144" s="17">
        <v>5470</v>
      </c>
      <c r="I144" s="18">
        <f t="shared" si="6"/>
        <v>6.4810426540284363</v>
      </c>
      <c r="J144" s="19">
        <v>1</v>
      </c>
      <c r="K144" s="20">
        <f t="shared" si="5"/>
        <v>5014.166666666667</v>
      </c>
      <c r="L144" s="13" t="s">
        <v>2</v>
      </c>
      <c r="M144" s="21" t="s">
        <v>149</v>
      </c>
    </row>
    <row r="145" spans="1:13">
      <c r="A145" s="13">
        <v>511</v>
      </c>
      <c r="B145" s="13" t="s">
        <v>26</v>
      </c>
      <c r="C145" s="14" t="s">
        <v>27</v>
      </c>
      <c r="D145" s="15">
        <v>452</v>
      </c>
      <c r="E145" s="16">
        <v>45896</v>
      </c>
      <c r="F145" s="16">
        <v>46260</v>
      </c>
      <c r="G145" s="13">
        <v>12</v>
      </c>
      <c r="H145" s="17">
        <v>3450</v>
      </c>
      <c r="I145" s="18">
        <f t="shared" si="6"/>
        <v>7.6327433628318584</v>
      </c>
      <c r="J145" s="19">
        <v>1</v>
      </c>
      <c r="K145" s="20">
        <f t="shared" si="5"/>
        <v>3162.5</v>
      </c>
      <c r="L145" s="13" t="s">
        <v>2</v>
      </c>
      <c r="M145" s="21" t="s">
        <v>149</v>
      </c>
    </row>
    <row r="146" spans="1:13">
      <c r="A146" s="13">
        <v>512</v>
      </c>
      <c r="B146" s="13" t="s">
        <v>29</v>
      </c>
      <c r="C146" s="14" t="s">
        <v>27</v>
      </c>
      <c r="D146" s="15">
        <v>451</v>
      </c>
      <c r="E146" s="16">
        <v>45870</v>
      </c>
      <c r="F146" s="16">
        <v>46234</v>
      </c>
      <c r="G146" s="13">
        <v>12</v>
      </c>
      <c r="H146" s="17">
        <v>3450</v>
      </c>
      <c r="I146" s="18">
        <f t="shared" si="6"/>
        <v>7.6496674057649665</v>
      </c>
      <c r="J146" s="19">
        <v>1</v>
      </c>
      <c r="K146" s="20">
        <f t="shared" si="5"/>
        <v>3162.5</v>
      </c>
      <c r="L146" s="13" t="s">
        <v>4</v>
      </c>
      <c r="M146" s="21" t="s">
        <v>149</v>
      </c>
    </row>
    <row r="147" spans="1:13">
      <c r="A147" s="13">
        <v>513</v>
      </c>
      <c r="B147" s="13" t="s">
        <v>54</v>
      </c>
      <c r="C147" s="14" t="s">
        <v>31</v>
      </c>
      <c r="D147" s="15">
        <v>654</v>
      </c>
      <c r="E147" s="16">
        <v>45824</v>
      </c>
      <c r="F147" s="16">
        <v>46188</v>
      </c>
      <c r="G147" s="13">
        <v>12</v>
      </c>
      <c r="H147" s="17">
        <v>4440</v>
      </c>
      <c r="I147" s="18">
        <f t="shared" si="6"/>
        <v>6.7889908256880735</v>
      </c>
      <c r="J147" s="19">
        <v>1</v>
      </c>
      <c r="K147" s="20">
        <f t="shared" si="5"/>
        <v>4070</v>
      </c>
      <c r="L147" s="13" t="s">
        <v>2</v>
      </c>
      <c r="M147" s="21" t="s">
        <v>149</v>
      </c>
    </row>
    <row r="148" spans="1:13">
      <c r="A148" s="13">
        <v>515</v>
      </c>
      <c r="B148" s="13" t="s">
        <v>80</v>
      </c>
      <c r="C148" s="14" t="s">
        <v>27</v>
      </c>
      <c r="D148" s="15">
        <v>467</v>
      </c>
      <c r="E148" s="16">
        <v>45915</v>
      </c>
      <c r="F148" s="16">
        <v>46095</v>
      </c>
      <c r="G148" s="13">
        <v>18</v>
      </c>
      <c r="H148" s="17">
        <v>3500</v>
      </c>
      <c r="I148" s="18">
        <f t="shared" si="6"/>
        <v>7.4946466809421839</v>
      </c>
      <c r="J148" s="19">
        <v>1</v>
      </c>
      <c r="K148" s="20">
        <f t="shared" si="5"/>
        <v>3305.5555555555557</v>
      </c>
      <c r="L148" s="13" t="s">
        <v>2</v>
      </c>
      <c r="M148" s="21" t="s">
        <v>149</v>
      </c>
    </row>
    <row r="149" spans="1:13">
      <c r="A149" s="13">
        <v>516</v>
      </c>
      <c r="B149" s="13" t="s">
        <v>55</v>
      </c>
      <c r="C149" s="14" t="s">
        <v>16</v>
      </c>
      <c r="D149" s="15">
        <v>850</v>
      </c>
      <c r="E149" s="16">
        <v>45884</v>
      </c>
      <c r="F149" s="16">
        <v>46248</v>
      </c>
      <c r="G149" s="13">
        <v>12</v>
      </c>
      <c r="H149" s="17">
        <v>4350</v>
      </c>
      <c r="I149" s="18">
        <f t="shared" si="6"/>
        <v>5.117647058823529</v>
      </c>
      <c r="J149" s="19">
        <v>1</v>
      </c>
      <c r="K149" s="20">
        <f t="shared" si="5"/>
        <v>3987.5</v>
      </c>
      <c r="L149" s="13" t="s">
        <v>2</v>
      </c>
      <c r="M149" s="21" t="s">
        <v>149</v>
      </c>
    </row>
    <row r="150" spans="1:13">
      <c r="A150" s="13">
        <v>518</v>
      </c>
      <c r="B150" s="13" t="s">
        <v>34</v>
      </c>
      <c r="C150" s="14" t="s">
        <v>27</v>
      </c>
      <c r="D150" s="15">
        <v>456</v>
      </c>
      <c r="E150" s="16">
        <v>45896</v>
      </c>
      <c r="F150" s="16">
        <v>46260</v>
      </c>
      <c r="G150" s="13">
        <v>12</v>
      </c>
      <c r="H150" s="17">
        <v>3450</v>
      </c>
      <c r="I150" s="18">
        <f t="shared" si="6"/>
        <v>7.5657894736842106</v>
      </c>
      <c r="J150" s="19">
        <v>1</v>
      </c>
      <c r="K150" s="20">
        <f t="shared" si="5"/>
        <v>3162.5</v>
      </c>
      <c r="L150" s="13" t="s">
        <v>2</v>
      </c>
      <c r="M150" s="21" t="s">
        <v>149</v>
      </c>
    </row>
    <row r="151" spans="1:13">
      <c r="A151" s="13">
        <v>519</v>
      </c>
      <c r="B151" s="13" t="s">
        <v>35</v>
      </c>
      <c r="C151" s="14" t="s">
        <v>27</v>
      </c>
      <c r="D151" s="15">
        <v>511</v>
      </c>
      <c r="E151" s="16">
        <v>45875</v>
      </c>
      <c r="F151" s="16">
        <v>46239</v>
      </c>
      <c r="G151" s="13">
        <v>12</v>
      </c>
      <c r="H151" s="17">
        <v>3375</v>
      </c>
      <c r="I151" s="18">
        <f t="shared" si="6"/>
        <v>6.6046966731898236</v>
      </c>
      <c r="J151" s="19">
        <v>0</v>
      </c>
      <c r="K151" s="20">
        <f t="shared" ref="K151:K214" si="7">H151*SUM(G151-J151)/G151</f>
        <v>3375</v>
      </c>
      <c r="L151" s="13" t="s">
        <v>10</v>
      </c>
      <c r="M151" s="21" t="s">
        <v>149</v>
      </c>
    </row>
    <row r="152" spans="1:13">
      <c r="A152" s="13">
        <v>520</v>
      </c>
      <c r="B152" s="13" t="s">
        <v>34</v>
      </c>
      <c r="C152" s="14" t="s">
        <v>27</v>
      </c>
      <c r="D152" s="15">
        <v>456</v>
      </c>
      <c r="E152" s="16">
        <v>45887</v>
      </c>
      <c r="F152" s="16">
        <v>46070</v>
      </c>
      <c r="G152" s="13">
        <v>6</v>
      </c>
      <c r="H152" s="17">
        <v>3450</v>
      </c>
      <c r="I152" s="18">
        <f t="shared" si="6"/>
        <v>7.5657894736842106</v>
      </c>
      <c r="J152" s="19">
        <v>0</v>
      </c>
      <c r="K152" s="20">
        <f t="shared" si="7"/>
        <v>3450</v>
      </c>
      <c r="L152" s="13" t="s">
        <v>10</v>
      </c>
      <c r="M152" s="21" t="s">
        <v>149</v>
      </c>
    </row>
    <row r="153" spans="1:13">
      <c r="A153" s="13">
        <v>521</v>
      </c>
      <c r="B153" s="13" t="s">
        <v>68</v>
      </c>
      <c r="C153" s="14" t="s">
        <v>31</v>
      </c>
      <c r="D153" s="15">
        <v>684</v>
      </c>
      <c r="E153" s="16">
        <v>45635</v>
      </c>
      <c r="F153" s="16">
        <v>46546</v>
      </c>
      <c r="G153" s="13">
        <v>30</v>
      </c>
      <c r="H153" s="17">
        <v>4270</v>
      </c>
      <c r="I153" s="18">
        <f t="shared" si="6"/>
        <v>6.242690058479532</v>
      </c>
      <c r="J153" s="19">
        <v>2</v>
      </c>
      <c r="K153" s="20">
        <f t="shared" si="7"/>
        <v>3985.3333333333335</v>
      </c>
      <c r="L153" s="13" t="s">
        <v>7</v>
      </c>
      <c r="M153" s="21" t="s">
        <v>149</v>
      </c>
    </row>
    <row r="154" spans="1:13">
      <c r="A154" s="13">
        <v>522</v>
      </c>
      <c r="B154" s="13" t="s">
        <v>15</v>
      </c>
      <c r="C154" s="14" t="s">
        <v>1</v>
      </c>
      <c r="D154" s="15">
        <v>684</v>
      </c>
      <c r="E154" s="16">
        <v>45855</v>
      </c>
      <c r="F154" s="16">
        <v>46219</v>
      </c>
      <c r="G154" s="13">
        <v>12</v>
      </c>
      <c r="H154" s="17">
        <v>4410</v>
      </c>
      <c r="I154" s="18">
        <f t="shared" si="6"/>
        <v>6.4473684210526319</v>
      </c>
      <c r="J154" s="19">
        <v>1</v>
      </c>
      <c r="K154" s="20">
        <f t="shared" si="7"/>
        <v>4042.5</v>
      </c>
      <c r="L154" s="13" t="s">
        <v>4</v>
      </c>
      <c r="M154" s="21" t="s">
        <v>149</v>
      </c>
    </row>
    <row r="155" spans="1:13">
      <c r="A155" s="13">
        <v>523</v>
      </c>
      <c r="B155" s="13" t="s">
        <v>33</v>
      </c>
      <c r="C155" s="14" t="s">
        <v>1</v>
      </c>
      <c r="D155" s="15">
        <v>684</v>
      </c>
      <c r="E155" s="16">
        <v>45814</v>
      </c>
      <c r="F155" s="16">
        <v>46177</v>
      </c>
      <c r="G155" s="13">
        <v>12</v>
      </c>
      <c r="H155" s="17">
        <v>4270</v>
      </c>
      <c r="I155" s="18">
        <f t="shared" si="6"/>
        <v>6.242690058479532</v>
      </c>
      <c r="J155" s="19">
        <v>1</v>
      </c>
      <c r="K155" s="20">
        <f t="shared" si="7"/>
        <v>3914.1666666666665</v>
      </c>
      <c r="L155" s="13" t="s">
        <v>2</v>
      </c>
      <c r="M155" s="21" t="s">
        <v>149</v>
      </c>
    </row>
    <row r="156" spans="1:13">
      <c r="A156" s="13">
        <v>524</v>
      </c>
      <c r="B156" s="13" t="s">
        <v>68</v>
      </c>
      <c r="C156" s="14" t="s">
        <v>31</v>
      </c>
      <c r="D156" s="15">
        <v>684</v>
      </c>
      <c r="E156" s="16">
        <v>45603</v>
      </c>
      <c r="F156" s="16">
        <v>46483</v>
      </c>
      <c r="G156" s="13">
        <v>29</v>
      </c>
      <c r="H156" s="17">
        <v>4270</v>
      </c>
      <c r="I156" s="18">
        <f t="shared" si="6"/>
        <v>6.242690058479532</v>
      </c>
      <c r="J156" s="19">
        <v>2</v>
      </c>
      <c r="K156" s="20">
        <f t="shared" si="7"/>
        <v>3975.5172413793102</v>
      </c>
      <c r="L156" s="13" t="s">
        <v>7</v>
      </c>
      <c r="M156" s="21" t="s">
        <v>149</v>
      </c>
    </row>
    <row r="157" spans="1:13">
      <c r="A157" s="13">
        <v>525</v>
      </c>
      <c r="B157" s="13" t="s">
        <v>34</v>
      </c>
      <c r="C157" s="14" t="s">
        <v>27</v>
      </c>
      <c r="D157" s="15">
        <v>456</v>
      </c>
      <c r="E157" s="16">
        <v>45893</v>
      </c>
      <c r="F157" s="16" t="s">
        <v>81</v>
      </c>
      <c r="G157" s="13">
        <v>12</v>
      </c>
      <c r="H157" s="17">
        <v>3575</v>
      </c>
      <c r="I157" s="18">
        <f t="shared" si="6"/>
        <v>7.8399122807017543</v>
      </c>
      <c r="J157" s="19">
        <v>1</v>
      </c>
      <c r="K157" s="20">
        <f t="shared" si="7"/>
        <v>3277.0833333333335</v>
      </c>
      <c r="L157" s="13" t="s">
        <v>2</v>
      </c>
      <c r="M157" s="21" t="s">
        <v>149</v>
      </c>
    </row>
    <row r="158" spans="1:13">
      <c r="A158" s="13">
        <v>526</v>
      </c>
      <c r="B158" s="13" t="s">
        <v>35</v>
      </c>
      <c r="C158" s="14" t="s">
        <v>27</v>
      </c>
      <c r="D158" s="15">
        <v>456</v>
      </c>
      <c r="E158" s="16">
        <v>45885</v>
      </c>
      <c r="F158" s="16">
        <v>46249</v>
      </c>
      <c r="G158" s="13">
        <v>12</v>
      </c>
      <c r="H158" s="17">
        <v>3575</v>
      </c>
      <c r="I158" s="18">
        <f t="shared" si="6"/>
        <v>7.8399122807017543</v>
      </c>
      <c r="J158" s="19">
        <v>1</v>
      </c>
      <c r="K158" s="20">
        <f t="shared" si="7"/>
        <v>3277.0833333333335</v>
      </c>
      <c r="L158" s="13" t="s">
        <v>4</v>
      </c>
      <c r="M158" s="21" t="s">
        <v>149</v>
      </c>
    </row>
    <row r="159" spans="1:13">
      <c r="A159" s="13">
        <v>527</v>
      </c>
      <c r="B159" s="13" t="s">
        <v>34</v>
      </c>
      <c r="C159" s="14" t="s">
        <v>27</v>
      </c>
      <c r="D159" s="15">
        <v>456</v>
      </c>
      <c r="E159" s="16">
        <v>45873</v>
      </c>
      <c r="F159" s="16">
        <v>46237</v>
      </c>
      <c r="G159" s="13">
        <v>12</v>
      </c>
      <c r="H159" s="17">
        <v>3575</v>
      </c>
      <c r="I159" s="18">
        <f t="shared" si="6"/>
        <v>7.8399122807017543</v>
      </c>
      <c r="J159" s="19">
        <v>1</v>
      </c>
      <c r="K159" s="20">
        <f t="shared" si="7"/>
        <v>3277.0833333333335</v>
      </c>
      <c r="L159" s="13" t="s">
        <v>10</v>
      </c>
      <c r="M159" s="21" t="s">
        <v>149</v>
      </c>
    </row>
    <row r="160" spans="1:13">
      <c r="A160" s="13">
        <v>528</v>
      </c>
      <c r="B160" s="13" t="s">
        <v>35</v>
      </c>
      <c r="C160" s="14" t="s">
        <v>27</v>
      </c>
      <c r="D160" s="15">
        <v>456</v>
      </c>
      <c r="E160" s="16">
        <v>45821</v>
      </c>
      <c r="F160" s="16">
        <v>46185</v>
      </c>
      <c r="G160" s="13">
        <v>12</v>
      </c>
      <c r="H160" s="17">
        <v>3575</v>
      </c>
      <c r="I160" s="18">
        <f t="shared" si="6"/>
        <v>7.8399122807017543</v>
      </c>
      <c r="J160" s="19">
        <v>1</v>
      </c>
      <c r="K160" s="20">
        <f t="shared" si="7"/>
        <v>3277.0833333333335</v>
      </c>
      <c r="L160" s="13" t="s">
        <v>2</v>
      </c>
      <c r="M160" s="21" t="s">
        <v>149</v>
      </c>
    </row>
    <row r="161" spans="1:13">
      <c r="A161" s="13">
        <v>529</v>
      </c>
      <c r="B161" s="13" t="s">
        <v>34</v>
      </c>
      <c r="C161" s="14" t="s">
        <v>27</v>
      </c>
      <c r="D161" s="15">
        <v>456</v>
      </c>
      <c r="E161" s="16">
        <v>45881</v>
      </c>
      <c r="F161" s="16">
        <v>46245</v>
      </c>
      <c r="G161" s="13">
        <v>12</v>
      </c>
      <c r="H161" s="17">
        <v>3575</v>
      </c>
      <c r="I161" s="18">
        <f t="shared" si="6"/>
        <v>7.8399122807017543</v>
      </c>
      <c r="J161" s="19">
        <v>1</v>
      </c>
      <c r="K161" s="20">
        <f t="shared" si="7"/>
        <v>3277.0833333333335</v>
      </c>
      <c r="L161" s="13" t="s">
        <v>2</v>
      </c>
      <c r="M161" s="21" t="s">
        <v>149</v>
      </c>
    </row>
    <row r="162" spans="1:13">
      <c r="A162" s="13">
        <v>530</v>
      </c>
      <c r="B162" s="13" t="s">
        <v>32</v>
      </c>
      <c r="C162" s="14" t="s">
        <v>27</v>
      </c>
      <c r="D162" s="15">
        <v>456</v>
      </c>
      <c r="E162" s="16">
        <v>45869</v>
      </c>
      <c r="F162" s="16">
        <v>46233</v>
      </c>
      <c r="G162" s="13">
        <v>12</v>
      </c>
      <c r="H162" s="17">
        <v>3575</v>
      </c>
      <c r="I162" s="18">
        <f t="shared" si="6"/>
        <v>7.8399122807017543</v>
      </c>
      <c r="J162" s="19">
        <v>1</v>
      </c>
      <c r="K162" s="20">
        <f t="shared" si="7"/>
        <v>3277.0833333333335</v>
      </c>
      <c r="L162" s="13" t="s">
        <v>2</v>
      </c>
      <c r="M162" s="21" t="s">
        <v>149</v>
      </c>
    </row>
    <row r="163" spans="1:13">
      <c r="A163" s="13">
        <v>532</v>
      </c>
      <c r="B163" s="13" t="s">
        <v>58</v>
      </c>
      <c r="C163" s="14" t="s">
        <v>14</v>
      </c>
      <c r="D163" s="15">
        <v>958</v>
      </c>
      <c r="E163" s="16">
        <v>45635</v>
      </c>
      <c r="F163" s="16">
        <v>46546</v>
      </c>
      <c r="G163" s="13">
        <v>30</v>
      </c>
      <c r="H163" s="17">
        <v>5840</v>
      </c>
      <c r="I163" s="18">
        <f t="shared" si="6"/>
        <v>6.0960334029227559</v>
      </c>
      <c r="J163" s="19">
        <v>2</v>
      </c>
      <c r="K163" s="20">
        <f t="shared" si="7"/>
        <v>5450.666666666667</v>
      </c>
      <c r="L163" s="13" t="s">
        <v>59</v>
      </c>
      <c r="M163" s="21" t="s">
        <v>149</v>
      </c>
    </row>
    <row r="164" spans="1:13">
      <c r="A164" s="13">
        <v>535</v>
      </c>
      <c r="B164" s="13" t="s">
        <v>60</v>
      </c>
      <c r="C164" s="14" t="s">
        <v>14</v>
      </c>
      <c r="D164" s="15">
        <v>974</v>
      </c>
      <c r="E164" s="16">
        <v>45550</v>
      </c>
      <c r="F164" s="16">
        <v>45901</v>
      </c>
      <c r="G164" s="13">
        <v>18</v>
      </c>
      <c r="H164" s="17">
        <v>5790</v>
      </c>
      <c r="I164" s="18">
        <f t="shared" si="6"/>
        <v>5.944558521560575</v>
      </c>
      <c r="J164" s="19">
        <v>1.5</v>
      </c>
      <c r="K164" s="20">
        <f t="shared" si="7"/>
        <v>5307.5</v>
      </c>
      <c r="L164" s="13" t="s">
        <v>10</v>
      </c>
      <c r="M164" s="21" t="s">
        <v>149</v>
      </c>
    </row>
    <row r="165" spans="1:13">
      <c r="A165" s="13">
        <v>536</v>
      </c>
      <c r="B165" s="13" t="s">
        <v>60</v>
      </c>
      <c r="C165" s="14" t="s">
        <v>9</v>
      </c>
      <c r="D165" s="15">
        <v>1159</v>
      </c>
      <c r="E165" s="16">
        <v>45823</v>
      </c>
      <c r="F165" s="16">
        <v>46187</v>
      </c>
      <c r="G165" s="13">
        <v>12</v>
      </c>
      <c r="H165" s="17">
        <v>6350</v>
      </c>
      <c r="I165" s="18">
        <f t="shared" si="6"/>
        <v>5.4788610871440895</v>
      </c>
      <c r="J165" s="19">
        <v>1</v>
      </c>
      <c r="K165" s="20">
        <f t="shared" si="7"/>
        <v>5820.833333333333</v>
      </c>
      <c r="L165" s="13" t="s">
        <v>2</v>
      </c>
      <c r="M165" s="21" t="s">
        <v>149</v>
      </c>
    </row>
    <row r="166" spans="1:13">
      <c r="A166" s="13">
        <v>537</v>
      </c>
      <c r="B166" s="13" t="s">
        <v>40</v>
      </c>
      <c r="C166" s="14" t="s">
        <v>16</v>
      </c>
      <c r="D166" s="15">
        <v>685</v>
      </c>
      <c r="E166" s="16">
        <v>45594</v>
      </c>
      <c r="F166" s="16">
        <v>45958</v>
      </c>
      <c r="G166" s="13">
        <v>12</v>
      </c>
      <c r="H166" s="17">
        <v>4020</v>
      </c>
      <c r="I166" s="18">
        <f t="shared" si="6"/>
        <v>5.8686131386861318</v>
      </c>
      <c r="J166" s="19">
        <v>1.5</v>
      </c>
      <c r="K166" s="20">
        <f t="shared" si="7"/>
        <v>3517.5</v>
      </c>
      <c r="L166" s="13" t="s">
        <v>69</v>
      </c>
      <c r="M166" s="21" t="s">
        <v>149</v>
      </c>
    </row>
    <row r="167" spans="1:13">
      <c r="A167" s="13">
        <v>538</v>
      </c>
      <c r="B167" s="13" t="s">
        <v>41</v>
      </c>
      <c r="C167" s="14" t="s">
        <v>1</v>
      </c>
      <c r="D167" s="15">
        <v>768</v>
      </c>
      <c r="E167" s="16">
        <v>45907</v>
      </c>
      <c r="F167" s="16">
        <v>46271</v>
      </c>
      <c r="G167" s="13">
        <v>12</v>
      </c>
      <c r="H167" s="17">
        <v>4450</v>
      </c>
      <c r="I167" s="18">
        <f t="shared" si="6"/>
        <v>5.794270833333333</v>
      </c>
      <c r="J167" s="19">
        <v>1.5</v>
      </c>
      <c r="K167" s="20">
        <f t="shared" si="7"/>
        <v>3893.75</v>
      </c>
      <c r="L167" s="13" t="s">
        <v>2</v>
      </c>
      <c r="M167" s="21" t="s">
        <v>149</v>
      </c>
    </row>
    <row r="168" spans="1:13">
      <c r="A168" s="13">
        <v>539</v>
      </c>
      <c r="B168" s="13" t="s">
        <v>42</v>
      </c>
      <c r="C168" s="14" t="s">
        <v>25</v>
      </c>
      <c r="D168" s="15">
        <v>841</v>
      </c>
      <c r="E168" s="16">
        <v>45660</v>
      </c>
      <c r="F168" s="16">
        <v>46024</v>
      </c>
      <c r="G168" s="13">
        <v>12</v>
      </c>
      <c r="H168" s="17">
        <v>4700</v>
      </c>
      <c r="I168" s="18">
        <f t="shared" si="6"/>
        <v>5.5885850178359098</v>
      </c>
      <c r="J168" s="19">
        <v>1</v>
      </c>
      <c r="K168" s="20">
        <f t="shared" si="7"/>
        <v>4308.333333333333</v>
      </c>
      <c r="L168" s="13" t="s">
        <v>10</v>
      </c>
      <c r="M168" s="21" t="s">
        <v>149</v>
      </c>
    </row>
    <row r="169" spans="1:13">
      <c r="A169" s="13">
        <v>540</v>
      </c>
      <c r="B169" s="13" t="s">
        <v>44</v>
      </c>
      <c r="C169" s="14" t="s">
        <v>31</v>
      </c>
      <c r="D169" s="14">
        <v>770</v>
      </c>
      <c r="E169" s="16">
        <v>45983</v>
      </c>
      <c r="F169" s="16">
        <v>46347</v>
      </c>
      <c r="G169" s="13">
        <v>12</v>
      </c>
      <c r="H169" s="17">
        <v>4415</v>
      </c>
      <c r="I169" s="18">
        <f t="shared" si="6"/>
        <v>5.7337662337662341</v>
      </c>
      <c r="J169" s="19">
        <v>1</v>
      </c>
      <c r="K169" s="20">
        <f t="shared" si="7"/>
        <v>4047.0833333333335</v>
      </c>
      <c r="L169" s="13" t="s">
        <v>2</v>
      </c>
      <c r="M169" s="21" t="s">
        <v>149</v>
      </c>
    </row>
    <row r="170" spans="1:13">
      <c r="A170" s="13">
        <v>541</v>
      </c>
      <c r="B170" s="13" t="s">
        <v>82</v>
      </c>
      <c r="C170" s="14" t="s">
        <v>12</v>
      </c>
      <c r="D170" s="15">
        <v>707</v>
      </c>
      <c r="E170" s="16">
        <v>45555</v>
      </c>
      <c r="F170" s="16">
        <v>45919</v>
      </c>
      <c r="G170" s="13">
        <v>12</v>
      </c>
      <c r="H170" s="17">
        <v>4020</v>
      </c>
      <c r="I170" s="18">
        <f t="shared" si="6"/>
        <v>5.6859971711456856</v>
      </c>
      <c r="J170" s="19">
        <v>1</v>
      </c>
      <c r="K170" s="20">
        <f t="shared" si="7"/>
        <v>3685</v>
      </c>
      <c r="L170" s="13" t="s">
        <v>69</v>
      </c>
      <c r="M170" s="21" t="s">
        <v>149</v>
      </c>
    </row>
    <row r="171" spans="1:13">
      <c r="A171" s="13">
        <v>542</v>
      </c>
      <c r="B171" s="13" t="s">
        <v>79</v>
      </c>
      <c r="C171" s="14" t="s">
        <v>14</v>
      </c>
      <c r="D171" s="15">
        <v>1288</v>
      </c>
      <c r="E171" s="16">
        <v>45610</v>
      </c>
      <c r="F171" s="16">
        <v>45790</v>
      </c>
      <c r="G171" s="13">
        <v>6</v>
      </c>
      <c r="H171" s="17">
        <v>6350</v>
      </c>
      <c r="I171" s="18">
        <f t="shared" si="6"/>
        <v>4.9301242236024843</v>
      </c>
      <c r="J171" s="19">
        <v>0</v>
      </c>
      <c r="K171" s="20">
        <f t="shared" si="7"/>
        <v>6350</v>
      </c>
      <c r="L171" s="13" t="s">
        <v>69</v>
      </c>
      <c r="M171" s="21" t="s">
        <v>149</v>
      </c>
    </row>
    <row r="172" spans="1:13">
      <c r="A172" s="13">
        <v>543</v>
      </c>
      <c r="B172" s="13" t="s">
        <v>47</v>
      </c>
      <c r="C172" s="14" t="s">
        <v>9</v>
      </c>
      <c r="D172" s="15">
        <v>1228</v>
      </c>
      <c r="E172" s="16">
        <v>45717</v>
      </c>
      <c r="F172" s="16">
        <v>46081</v>
      </c>
      <c r="G172" s="13">
        <v>12</v>
      </c>
      <c r="H172" s="17">
        <v>6270</v>
      </c>
      <c r="I172" s="18">
        <f t="shared" si="6"/>
        <v>5.1058631921824107</v>
      </c>
      <c r="J172" s="19">
        <v>1</v>
      </c>
      <c r="K172" s="20">
        <f t="shared" si="7"/>
        <v>5747.5</v>
      </c>
      <c r="L172" s="13" t="s">
        <v>69</v>
      </c>
      <c r="M172" s="21" t="s">
        <v>149</v>
      </c>
    </row>
    <row r="173" spans="1:13">
      <c r="A173" s="13">
        <v>544</v>
      </c>
      <c r="B173" s="13" t="s">
        <v>0</v>
      </c>
      <c r="C173" s="14" t="s">
        <v>16</v>
      </c>
      <c r="D173" s="15">
        <v>701</v>
      </c>
      <c r="E173" s="16">
        <v>45688</v>
      </c>
      <c r="F173" s="16">
        <v>46052</v>
      </c>
      <c r="G173" s="13">
        <v>12</v>
      </c>
      <c r="H173" s="17">
        <v>4020</v>
      </c>
      <c r="I173" s="18">
        <f t="shared" si="6"/>
        <v>5.7346647646219688</v>
      </c>
      <c r="J173" s="19">
        <v>1</v>
      </c>
      <c r="K173" s="20">
        <f t="shared" si="7"/>
        <v>3685</v>
      </c>
      <c r="L173" s="13" t="s">
        <v>10</v>
      </c>
      <c r="M173" s="21" t="s">
        <v>149</v>
      </c>
    </row>
    <row r="174" spans="1:13">
      <c r="A174" s="13">
        <v>545</v>
      </c>
      <c r="B174" s="13" t="s">
        <v>83</v>
      </c>
      <c r="C174" s="14" t="s">
        <v>1</v>
      </c>
      <c r="D174" s="15">
        <v>770</v>
      </c>
      <c r="E174" s="16">
        <v>45869</v>
      </c>
      <c r="F174" s="16">
        <v>46233</v>
      </c>
      <c r="G174" s="13">
        <v>12</v>
      </c>
      <c r="H174" s="17">
        <v>4450</v>
      </c>
      <c r="I174" s="18">
        <f t="shared" si="6"/>
        <v>5.779220779220779</v>
      </c>
      <c r="J174" s="19">
        <v>1</v>
      </c>
      <c r="K174" s="20">
        <f t="shared" si="7"/>
        <v>4079.1666666666665</v>
      </c>
      <c r="L174" s="13" t="s">
        <v>2</v>
      </c>
      <c r="M174" s="21" t="s">
        <v>149</v>
      </c>
    </row>
    <row r="175" spans="1:13">
      <c r="A175" s="13">
        <v>546</v>
      </c>
      <c r="B175" s="13" t="s">
        <v>42</v>
      </c>
      <c r="C175" s="14" t="s">
        <v>25</v>
      </c>
      <c r="D175" s="15">
        <v>841</v>
      </c>
      <c r="E175" s="16">
        <v>45747</v>
      </c>
      <c r="F175" s="16">
        <v>46111</v>
      </c>
      <c r="G175" s="13">
        <v>12</v>
      </c>
      <c r="H175" s="17">
        <v>4700</v>
      </c>
      <c r="I175" s="18">
        <f t="shared" si="6"/>
        <v>5.5885850178359098</v>
      </c>
      <c r="J175" s="19">
        <v>1</v>
      </c>
      <c r="K175" s="20">
        <f t="shared" si="7"/>
        <v>4308.333333333333</v>
      </c>
      <c r="L175" s="13" t="s">
        <v>10</v>
      </c>
      <c r="M175" s="21" t="s">
        <v>149</v>
      </c>
    </row>
    <row r="176" spans="1:13">
      <c r="A176" s="13">
        <v>547</v>
      </c>
      <c r="B176" s="13" t="s">
        <v>44</v>
      </c>
      <c r="C176" s="14" t="s">
        <v>31</v>
      </c>
      <c r="D176" s="15">
        <v>770</v>
      </c>
      <c r="E176" s="16">
        <v>45663</v>
      </c>
      <c r="F176" s="16">
        <v>46543</v>
      </c>
      <c r="G176" s="13">
        <v>29</v>
      </c>
      <c r="H176" s="17">
        <v>4415</v>
      </c>
      <c r="I176" s="18">
        <f t="shared" si="6"/>
        <v>5.7337662337662341</v>
      </c>
      <c r="J176" s="19">
        <v>2</v>
      </c>
      <c r="K176" s="20">
        <f t="shared" si="7"/>
        <v>4110.5172413793107</v>
      </c>
      <c r="L176" s="13" t="s">
        <v>59</v>
      </c>
      <c r="M176" s="21" t="s">
        <v>149</v>
      </c>
    </row>
    <row r="177" spans="1:13">
      <c r="A177" s="13">
        <v>548</v>
      </c>
      <c r="B177" s="13" t="s">
        <v>72</v>
      </c>
      <c r="C177" s="14" t="s">
        <v>12</v>
      </c>
      <c r="D177" s="15">
        <v>686</v>
      </c>
      <c r="E177" s="16">
        <v>45888</v>
      </c>
      <c r="F177" s="16" t="s">
        <v>84</v>
      </c>
      <c r="G177" s="13">
        <v>12</v>
      </c>
      <c r="H177" s="17">
        <v>4090</v>
      </c>
      <c r="I177" s="18">
        <f t="shared" si="6"/>
        <v>5.9620991253644311</v>
      </c>
      <c r="J177" s="19">
        <v>1</v>
      </c>
      <c r="K177" s="20">
        <f t="shared" si="7"/>
        <v>3749.1666666666665</v>
      </c>
      <c r="L177" s="13" t="s">
        <v>2</v>
      </c>
      <c r="M177" s="21" t="s">
        <v>149</v>
      </c>
    </row>
    <row r="178" spans="1:13">
      <c r="A178" s="13">
        <v>550</v>
      </c>
      <c r="B178" s="13" t="s">
        <v>44</v>
      </c>
      <c r="C178" s="14" t="s">
        <v>31</v>
      </c>
      <c r="D178" s="15">
        <v>770</v>
      </c>
      <c r="E178" s="16">
        <v>45610</v>
      </c>
      <c r="F178" s="16">
        <v>46551</v>
      </c>
      <c r="G178" s="13">
        <v>30</v>
      </c>
      <c r="H178" s="17">
        <v>5990</v>
      </c>
      <c r="I178" s="18">
        <f t="shared" si="6"/>
        <v>7.779220779220779</v>
      </c>
      <c r="J178" s="19">
        <v>2</v>
      </c>
      <c r="K178" s="20">
        <f t="shared" si="7"/>
        <v>5590.666666666667</v>
      </c>
      <c r="L178" s="13" t="s">
        <v>59</v>
      </c>
      <c r="M178" s="21" t="s">
        <v>149</v>
      </c>
    </row>
    <row r="179" spans="1:13">
      <c r="A179" s="13">
        <v>551</v>
      </c>
      <c r="B179" s="13">
        <v>335</v>
      </c>
      <c r="C179" s="14" t="s">
        <v>9</v>
      </c>
      <c r="D179" s="15">
        <v>1209</v>
      </c>
      <c r="E179" s="16">
        <v>45869</v>
      </c>
      <c r="F179" s="16">
        <v>46233</v>
      </c>
      <c r="G179" s="13">
        <v>12</v>
      </c>
      <c r="H179" s="17">
        <v>6190</v>
      </c>
      <c r="I179" s="18">
        <f t="shared" si="6"/>
        <v>5.1199338296112487</v>
      </c>
      <c r="J179" s="19">
        <v>1</v>
      </c>
      <c r="K179" s="20">
        <f t="shared" si="7"/>
        <v>5674.166666666667</v>
      </c>
      <c r="L179" s="13" t="s">
        <v>10</v>
      </c>
      <c r="M179" s="21" t="s">
        <v>149</v>
      </c>
    </row>
    <row r="180" spans="1:13">
      <c r="A180" s="13">
        <v>553</v>
      </c>
      <c r="B180" s="13" t="s">
        <v>85</v>
      </c>
      <c r="C180" s="14" t="s">
        <v>1</v>
      </c>
      <c r="D180" s="15">
        <v>591</v>
      </c>
      <c r="E180" s="16">
        <v>45815</v>
      </c>
      <c r="F180" s="16">
        <v>46179</v>
      </c>
      <c r="G180" s="13">
        <v>12</v>
      </c>
      <c r="H180" s="17">
        <v>4350</v>
      </c>
      <c r="I180" s="18">
        <f t="shared" si="6"/>
        <v>7.3604060913705585</v>
      </c>
      <c r="J180" s="19">
        <v>1</v>
      </c>
      <c r="K180" s="20">
        <f t="shared" si="7"/>
        <v>3987.5</v>
      </c>
      <c r="L180" s="13" t="s">
        <v>2</v>
      </c>
      <c r="M180" s="21" t="s">
        <v>149</v>
      </c>
    </row>
    <row r="181" spans="1:13">
      <c r="A181" s="13">
        <v>555</v>
      </c>
      <c r="B181" s="13" t="s">
        <v>86</v>
      </c>
      <c r="C181" s="14" t="s">
        <v>31</v>
      </c>
      <c r="D181" s="15">
        <v>599</v>
      </c>
      <c r="E181" s="16">
        <v>45835</v>
      </c>
      <c r="F181" s="16">
        <v>46199</v>
      </c>
      <c r="G181" s="13">
        <v>12</v>
      </c>
      <c r="H181" s="17">
        <v>5050</v>
      </c>
      <c r="I181" s="18">
        <f t="shared" si="6"/>
        <v>8.4307178631051745</v>
      </c>
      <c r="J181" s="19">
        <v>1</v>
      </c>
      <c r="K181" s="20">
        <f t="shared" si="7"/>
        <v>4629.166666666667</v>
      </c>
      <c r="L181" s="13" t="s">
        <v>10</v>
      </c>
      <c r="M181" s="21" t="s">
        <v>149</v>
      </c>
    </row>
    <row r="182" spans="1:13">
      <c r="A182" s="13">
        <v>556</v>
      </c>
      <c r="B182" s="13" t="s">
        <v>54</v>
      </c>
      <c r="C182" s="14" t="s">
        <v>25</v>
      </c>
      <c r="D182" s="15">
        <v>889</v>
      </c>
      <c r="E182" s="16">
        <v>45838</v>
      </c>
      <c r="F182" s="16">
        <v>46171</v>
      </c>
      <c r="G182" s="13">
        <v>12</v>
      </c>
      <c r="H182" s="17">
        <v>4750</v>
      </c>
      <c r="I182" s="18">
        <f t="shared" si="6"/>
        <v>5.3430821147356582</v>
      </c>
      <c r="J182" s="19">
        <v>1</v>
      </c>
      <c r="K182" s="20">
        <f t="shared" si="7"/>
        <v>4354.166666666667</v>
      </c>
      <c r="L182" s="13" t="s">
        <v>2</v>
      </c>
      <c r="M182" s="21" t="s">
        <v>149</v>
      </c>
    </row>
    <row r="183" spans="1:13">
      <c r="A183" s="13">
        <v>601</v>
      </c>
      <c r="B183" s="13" t="s">
        <v>51</v>
      </c>
      <c r="C183" s="14" t="s">
        <v>14</v>
      </c>
      <c r="D183" s="15">
        <v>1045</v>
      </c>
      <c r="E183" s="16">
        <v>45617</v>
      </c>
      <c r="F183" s="16">
        <v>46098</v>
      </c>
      <c r="G183" s="13">
        <v>18</v>
      </c>
      <c r="H183" s="17">
        <v>6015</v>
      </c>
      <c r="I183" s="18">
        <f t="shared" si="6"/>
        <v>5.7559808612440193</v>
      </c>
      <c r="J183" s="19">
        <v>1</v>
      </c>
      <c r="K183" s="20">
        <f t="shared" si="7"/>
        <v>5680.833333333333</v>
      </c>
      <c r="L183" s="13" t="s">
        <v>59</v>
      </c>
      <c r="M183" s="21" t="s">
        <v>149</v>
      </c>
    </row>
    <row r="184" spans="1:13">
      <c r="A184" s="13">
        <v>602</v>
      </c>
      <c r="B184" s="13" t="s">
        <v>26</v>
      </c>
      <c r="C184" s="14" t="s">
        <v>27</v>
      </c>
      <c r="D184" s="15">
        <v>45</v>
      </c>
      <c r="E184" s="16">
        <v>45899</v>
      </c>
      <c r="F184" s="16">
        <v>46263</v>
      </c>
      <c r="G184" s="13">
        <v>12</v>
      </c>
      <c r="H184" s="17">
        <v>3600</v>
      </c>
      <c r="I184" s="18">
        <f t="shared" si="6"/>
        <v>80</v>
      </c>
      <c r="J184" s="19">
        <v>1</v>
      </c>
      <c r="K184" s="20">
        <f t="shared" si="7"/>
        <v>3300</v>
      </c>
      <c r="L184" s="13" t="s">
        <v>2</v>
      </c>
      <c r="M184" s="21" t="s">
        <v>149</v>
      </c>
    </row>
    <row r="185" spans="1:13">
      <c r="A185" s="13">
        <v>603</v>
      </c>
      <c r="B185" s="13" t="s">
        <v>29</v>
      </c>
      <c r="C185" s="14" t="s">
        <v>27</v>
      </c>
      <c r="D185" s="15">
        <v>451</v>
      </c>
      <c r="E185" s="16">
        <v>45900</v>
      </c>
      <c r="F185" s="16">
        <v>46264</v>
      </c>
      <c r="G185" s="13">
        <v>12</v>
      </c>
      <c r="H185" s="17">
        <v>3600</v>
      </c>
      <c r="I185" s="18">
        <f t="shared" si="6"/>
        <v>7.9822616407982263</v>
      </c>
      <c r="J185" s="19">
        <v>1</v>
      </c>
      <c r="K185" s="20">
        <f t="shared" si="7"/>
        <v>3300</v>
      </c>
      <c r="L185" s="13" t="s">
        <v>2</v>
      </c>
      <c r="M185" s="21" t="s">
        <v>149</v>
      </c>
    </row>
    <row r="186" spans="1:13">
      <c r="A186" s="13">
        <v>604</v>
      </c>
      <c r="B186" s="13" t="s">
        <v>26</v>
      </c>
      <c r="C186" s="14" t="s">
        <v>27</v>
      </c>
      <c r="D186" s="15">
        <v>452</v>
      </c>
      <c r="E186" s="16">
        <v>45899</v>
      </c>
      <c r="F186" s="16">
        <v>46263</v>
      </c>
      <c r="G186" s="13">
        <v>12</v>
      </c>
      <c r="H186" s="17">
        <v>3600</v>
      </c>
      <c r="I186" s="18">
        <f t="shared" si="6"/>
        <v>7.9646017699115044</v>
      </c>
      <c r="J186" s="19">
        <v>1</v>
      </c>
      <c r="K186" s="20">
        <f t="shared" si="7"/>
        <v>3300</v>
      </c>
      <c r="L186" s="13" t="s">
        <v>10</v>
      </c>
      <c r="M186" s="21" t="s">
        <v>149</v>
      </c>
    </row>
    <row r="187" spans="1:13">
      <c r="A187" s="13">
        <v>605</v>
      </c>
      <c r="B187" s="13" t="s">
        <v>28</v>
      </c>
      <c r="C187" s="14" t="s">
        <v>27</v>
      </c>
      <c r="D187" s="15">
        <v>452</v>
      </c>
      <c r="E187" s="16">
        <v>45894</v>
      </c>
      <c r="F187" s="16">
        <v>46258</v>
      </c>
      <c r="G187" s="13">
        <v>12</v>
      </c>
      <c r="H187" s="17">
        <v>3600</v>
      </c>
      <c r="I187" s="18">
        <f t="shared" si="6"/>
        <v>7.9646017699115044</v>
      </c>
      <c r="J187" s="19">
        <v>1</v>
      </c>
      <c r="K187" s="20">
        <f t="shared" si="7"/>
        <v>3300</v>
      </c>
      <c r="L187" s="13" t="s">
        <v>10</v>
      </c>
      <c r="M187" s="21" t="s">
        <v>149</v>
      </c>
    </row>
    <row r="188" spans="1:13">
      <c r="A188" s="13">
        <v>606</v>
      </c>
      <c r="B188" s="13" t="s">
        <v>26</v>
      </c>
      <c r="C188" s="14" t="s">
        <v>27</v>
      </c>
      <c r="D188" s="15">
        <v>452</v>
      </c>
      <c r="E188" s="16">
        <v>45889</v>
      </c>
      <c r="F188" s="16">
        <v>46253</v>
      </c>
      <c r="G188" s="13">
        <v>12</v>
      </c>
      <c r="H188" s="17">
        <v>3600</v>
      </c>
      <c r="I188" s="18">
        <f t="shared" si="6"/>
        <v>7.9646017699115044</v>
      </c>
      <c r="J188" s="19">
        <v>1</v>
      </c>
      <c r="K188" s="20">
        <f t="shared" si="7"/>
        <v>3300</v>
      </c>
      <c r="L188" s="13" t="s">
        <v>4</v>
      </c>
      <c r="M188" s="21" t="s">
        <v>149</v>
      </c>
    </row>
    <row r="189" spans="1:13">
      <c r="A189" s="13">
        <v>607</v>
      </c>
      <c r="B189" s="13" t="s">
        <v>26</v>
      </c>
      <c r="C189" s="14" t="s">
        <v>27</v>
      </c>
      <c r="D189" s="15">
        <v>452</v>
      </c>
      <c r="E189" s="16">
        <v>45854</v>
      </c>
      <c r="F189" s="16">
        <v>46219</v>
      </c>
      <c r="G189" s="13">
        <v>12</v>
      </c>
      <c r="H189" s="17">
        <v>3500</v>
      </c>
      <c r="I189" s="18">
        <f t="shared" si="6"/>
        <v>7.7433628318584073</v>
      </c>
      <c r="J189" s="19">
        <v>1</v>
      </c>
      <c r="K189" s="20">
        <f t="shared" si="7"/>
        <v>3208.3333333333335</v>
      </c>
      <c r="L189" s="13" t="s">
        <v>2</v>
      </c>
      <c r="M189" s="21" t="s">
        <v>149</v>
      </c>
    </row>
    <row r="190" spans="1:13">
      <c r="A190" s="13">
        <v>608</v>
      </c>
      <c r="B190" s="13" t="s">
        <v>26</v>
      </c>
      <c r="C190" s="14" t="s">
        <v>27</v>
      </c>
      <c r="D190" s="15">
        <v>452</v>
      </c>
      <c r="E190" s="16">
        <v>45871</v>
      </c>
      <c r="F190" s="16">
        <v>46235</v>
      </c>
      <c r="G190" s="13">
        <v>12</v>
      </c>
      <c r="H190" s="17">
        <v>3600</v>
      </c>
      <c r="I190" s="18">
        <f t="shared" si="6"/>
        <v>7.9646017699115044</v>
      </c>
      <c r="J190" s="19">
        <v>1</v>
      </c>
      <c r="K190" s="20">
        <f t="shared" si="7"/>
        <v>3300</v>
      </c>
      <c r="L190" s="13" t="s">
        <v>4</v>
      </c>
      <c r="M190" s="21" t="s">
        <v>149</v>
      </c>
    </row>
    <row r="191" spans="1:13">
      <c r="A191" s="13">
        <v>609</v>
      </c>
      <c r="B191" s="13" t="s">
        <v>53</v>
      </c>
      <c r="C191" s="14" t="s">
        <v>14</v>
      </c>
      <c r="D191" s="15">
        <v>858</v>
      </c>
      <c r="E191" s="16">
        <v>45818</v>
      </c>
      <c r="F191" s="16">
        <v>46182</v>
      </c>
      <c r="G191" s="13">
        <v>12</v>
      </c>
      <c r="H191" s="17">
        <v>5495</v>
      </c>
      <c r="I191" s="18">
        <f t="shared" si="6"/>
        <v>6.4044289044289044</v>
      </c>
      <c r="J191" s="19">
        <v>1</v>
      </c>
      <c r="K191" s="20">
        <f t="shared" si="7"/>
        <v>5037.083333333333</v>
      </c>
      <c r="L191" s="13" t="s">
        <v>2</v>
      </c>
      <c r="M191" s="21" t="s">
        <v>149</v>
      </c>
    </row>
    <row r="192" spans="1:13">
      <c r="A192" s="13">
        <v>610</v>
      </c>
      <c r="B192" s="13" t="s">
        <v>79</v>
      </c>
      <c r="C192" s="14" t="s">
        <v>14</v>
      </c>
      <c r="D192" s="15">
        <v>858</v>
      </c>
      <c r="E192" s="16">
        <v>45900</v>
      </c>
      <c r="F192" s="16" t="s">
        <v>87</v>
      </c>
      <c r="G192" s="13">
        <v>12</v>
      </c>
      <c r="H192" s="17">
        <v>5795</v>
      </c>
      <c r="I192" s="18">
        <f t="shared" si="6"/>
        <v>6.7540792540792545</v>
      </c>
      <c r="J192" s="19">
        <v>1</v>
      </c>
      <c r="K192" s="20">
        <f t="shared" si="7"/>
        <v>5312.083333333333</v>
      </c>
      <c r="L192" s="13" t="s">
        <v>10</v>
      </c>
      <c r="M192" s="21" t="s">
        <v>149</v>
      </c>
    </row>
    <row r="193" spans="1:13">
      <c r="A193" s="13">
        <v>612</v>
      </c>
      <c r="B193" s="13" t="s">
        <v>29</v>
      </c>
      <c r="C193" s="14" t="s">
        <v>27</v>
      </c>
      <c r="D193" s="15">
        <v>451</v>
      </c>
      <c r="E193" s="16">
        <v>45870</v>
      </c>
      <c r="F193" s="16">
        <v>45869</v>
      </c>
      <c r="G193" s="13">
        <v>12</v>
      </c>
      <c r="H193" s="17">
        <v>3500</v>
      </c>
      <c r="I193" s="18">
        <f t="shared" si="6"/>
        <v>7.7605321507760534</v>
      </c>
      <c r="J193" s="19">
        <v>1</v>
      </c>
      <c r="K193" s="20">
        <f t="shared" si="7"/>
        <v>3208.3333333333335</v>
      </c>
      <c r="L193" s="13" t="s">
        <v>10</v>
      </c>
      <c r="M193" s="21" t="s">
        <v>149</v>
      </c>
    </row>
    <row r="194" spans="1:13">
      <c r="A194" s="13">
        <v>613</v>
      </c>
      <c r="B194" s="13" t="s">
        <v>54</v>
      </c>
      <c r="C194" s="14" t="s">
        <v>1</v>
      </c>
      <c r="D194" s="15">
        <v>654</v>
      </c>
      <c r="E194" s="16">
        <v>45892</v>
      </c>
      <c r="F194" s="16">
        <v>45891</v>
      </c>
      <c r="G194" s="13">
        <v>12</v>
      </c>
      <c r="H194" s="17">
        <v>4275</v>
      </c>
      <c r="I194" s="18">
        <f t="shared" si="6"/>
        <v>6.5366972477064218</v>
      </c>
      <c r="J194" s="19">
        <v>1</v>
      </c>
      <c r="K194" s="20">
        <f t="shared" si="7"/>
        <v>3918.75</v>
      </c>
      <c r="L194" s="13" t="s">
        <v>4</v>
      </c>
      <c r="M194" s="21" t="s">
        <v>149</v>
      </c>
    </row>
    <row r="195" spans="1:13">
      <c r="A195" s="13">
        <v>614</v>
      </c>
      <c r="B195" s="13" t="s">
        <v>5</v>
      </c>
      <c r="C195" s="14" t="s">
        <v>1</v>
      </c>
      <c r="D195" s="15">
        <v>677</v>
      </c>
      <c r="E195" s="16">
        <v>45803</v>
      </c>
      <c r="F195" s="16">
        <v>46167</v>
      </c>
      <c r="G195" s="13">
        <v>12</v>
      </c>
      <c r="H195" s="17">
        <v>4275</v>
      </c>
      <c r="I195" s="18">
        <f t="shared" si="6"/>
        <v>6.3146233382570163</v>
      </c>
      <c r="J195" s="19">
        <v>1</v>
      </c>
      <c r="K195" s="20">
        <f t="shared" si="7"/>
        <v>3918.75</v>
      </c>
      <c r="L195" s="13" t="s">
        <v>10</v>
      </c>
      <c r="M195" s="21" t="s">
        <v>149</v>
      </c>
    </row>
    <row r="196" spans="1:13">
      <c r="A196" s="13">
        <v>615</v>
      </c>
      <c r="B196" s="13" t="s">
        <v>80</v>
      </c>
      <c r="C196" s="14" t="s">
        <v>27</v>
      </c>
      <c r="D196" s="15">
        <v>467</v>
      </c>
      <c r="E196" s="16">
        <v>45843</v>
      </c>
      <c r="F196" s="16">
        <v>46207</v>
      </c>
      <c r="G196" s="13">
        <v>12</v>
      </c>
      <c r="H196" s="17">
        <v>3550</v>
      </c>
      <c r="I196" s="18">
        <f t="shared" si="6"/>
        <v>7.6017130620985007</v>
      </c>
      <c r="J196" s="19">
        <v>1</v>
      </c>
      <c r="K196" s="20">
        <f t="shared" si="7"/>
        <v>3254.1666666666665</v>
      </c>
      <c r="L196" s="13" t="s">
        <v>10</v>
      </c>
      <c r="M196" s="21" t="s">
        <v>149</v>
      </c>
    </row>
    <row r="197" spans="1:13">
      <c r="A197" s="13">
        <v>616</v>
      </c>
      <c r="B197" s="13" t="s">
        <v>55</v>
      </c>
      <c r="C197" s="14" t="s">
        <v>88</v>
      </c>
      <c r="D197" s="15">
        <v>850</v>
      </c>
      <c r="E197" s="16">
        <v>45831</v>
      </c>
      <c r="F197" s="16">
        <v>45831</v>
      </c>
      <c r="G197" s="13">
        <v>12</v>
      </c>
      <c r="H197" s="17">
        <v>4375</v>
      </c>
      <c r="I197" s="18">
        <f t="shared" si="6"/>
        <v>5.1470588235294121</v>
      </c>
      <c r="J197" s="19">
        <v>1</v>
      </c>
      <c r="K197" s="20">
        <f t="shared" si="7"/>
        <v>4010.4166666666665</v>
      </c>
      <c r="L197" s="13" t="s">
        <v>10</v>
      </c>
      <c r="M197" s="21" t="s">
        <v>149</v>
      </c>
    </row>
    <row r="198" spans="1:13">
      <c r="A198" s="13">
        <v>619</v>
      </c>
      <c r="B198" s="13" t="s">
        <v>35</v>
      </c>
      <c r="C198" s="14" t="s">
        <v>27</v>
      </c>
      <c r="D198" s="15">
        <v>456</v>
      </c>
      <c r="E198" s="16">
        <v>45885</v>
      </c>
      <c r="F198" s="16">
        <v>46249</v>
      </c>
      <c r="G198" s="13">
        <v>12</v>
      </c>
      <c r="H198" s="17">
        <v>3500</v>
      </c>
      <c r="I198" s="18">
        <f t="shared" si="6"/>
        <v>7.6754385964912277</v>
      </c>
      <c r="J198" s="19">
        <v>1</v>
      </c>
      <c r="K198" s="20">
        <f t="shared" si="7"/>
        <v>3208.3333333333335</v>
      </c>
      <c r="L198" s="13" t="s">
        <v>4</v>
      </c>
      <c r="M198" s="21" t="s">
        <v>149</v>
      </c>
    </row>
    <row r="199" spans="1:13">
      <c r="A199" s="13">
        <v>620</v>
      </c>
      <c r="B199" s="13" t="s">
        <v>34</v>
      </c>
      <c r="C199" s="14" t="s">
        <v>27</v>
      </c>
      <c r="D199" s="15">
        <v>456</v>
      </c>
      <c r="E199" s="16">
        <v>46001</v>
      </c>
      <c r="F199" s="16">
        <v>46365</v>
      </c>
      <c r="G199" s="13">
        <v>12</v>
      </c>
      <c r="H199" s="17">
        <v>3500</v>
      </c>
      <c r="I199" s="18">
        <f t="shared" si="6"/>
        <v>7.6754385964912277</v>
      </c>
      <c r="J199" s="19">
        <v>1</v>
      </c>
      <c r="K199" s="20">
        <f t="shared" si="7"/>
        <v>3208.3333333333335</v>
      </c>
      <c r="L199" s="13" t="s">
        <v>4</v>
      </c>
      <c r="M199" s="21" t="s">
        <v>149</v>
      </c>
    </row>
    <row r="200" spans="1:13">
      <c r="A200" s="13">
        <v>621</v>
      </c>
      <c r="B200" s="13" t="s">
        <v>57</v>
      </c>
      <c r="C200" s="14" t="s">
        <v>1</v>
      </c>
      <c r="D200" s="15">
        <v>684</v>
      </c>
      <c r="E200" s="16">
        <v>45876</v>
      </c>
      <c r="F200" s="16">
        <v>45875</v>
      </c>
      <c r="G200" s="13">
        <v>12</v>
      </c>
      <c r="H200" s="17">
        <v>4445</v>
      </c>
      <c r="I200" s="18">
        <f t="shared" si="6"/>
        <v>6.4985380116959064</v>
      </c>
      <c r="J200" s="19">
        <v>1</v>
      </c>
      <c r="K200" s="20">
        <f t="shared" si="7"/>
        <v>4074.5833333333335</v>
      </c>
      <c r="L200" s="13" t="s">
        <v>10</v>
      </c>
      <c r="M200" s="21" t="s">
        <v>149</v>
      </c>
    </row>
    <row r="201" spans="1:13">
      <c r="A201" s="13">
        <v>622</v>
      </c>
      <c r="B201" s="13" t="s">
        <v>15</v>
      </c>
      <c r="C201" s="14" t="s">
        <v>31</v>
      </c>
      <c r="D201" s="15">
        <v>684</v>
      </c>
      <c r="E201" s="16">
        <v>45869</v>
      </c>
      <c r="F201" s="16">
        <v>45868</v>
      </c>
      <c r="G201" s="13">
        <v>12</v>
      </c>
      <c r="H201" s="17">
        <v>4295</v>
      </c>
      <c r="I201" s="18">
        <f t="shared" si="6"/>
        <v>6.2792397660818713</v>
      </c>
      <c r="J201" s="19">
        <v>1</v>
      </c>
      <c r="K201" s="20">
        <f t="shared" si="7"/>
        <v>3937.0833333333335</v>
      </c>
      <c r="L201" s="13" t="s">
        <v>2</v>
      </c>
      <c r="M201" s="21" t="s">
        <v>149</v>
      </c>
    </row>
    <row r="202" spans="1:13">
      <c r="A202" s="13">
        <v>623</v>
      </c>
      <c r="B202" s="13" t="s">
        <v>33</v>
      </c>
      <c r="C202" s="14" t="s">
        <v>31</v>
      </c>
      <c r="D202" s="15">
        <v>686</v>
      </c>
      <c r="E202" s="16">
        <v>45791</v>
      </c>
      <c r="F202" s="16">
        <v>46155</v>
      </c>
      <c r="G202" s="13">
        <v>12</v>
      </c>
      <c r="H202" s="17">
        <v>4295</v>
      </c>
      <c r="I202" s="18">
        <f t="shared" si="6"/>
        <v>6.2609329446064139</v>
      </c>
      <c r="J202" s="19">
        <v>1</v>
      </c>
      <c r="K202" s="20">
        <f t="shared" si="7"/>
        <v>3937.0833333333335</v>
      </c>
      <c r="L202" s="13" t="s">
        <v>10</v>
      </c>
      <c r="M202" s="21" t="s">
        <v>149</v>
      </c>
    </row>
    <row r="203" spans="1:13">
      <c r="A203" s="13">
        <v>624</v>
      </c>
      <c r="B203" s="13" t="s">
        <v>68</v>
      </c>
      <c r="C203" s="14" t="s">
        <v>1</v>
      </c>
      <c r="D203" s="15">
        <v>684</v>
      </c>
      <c r="E203" s="16">
        <v>45869</v>
      </c>
      <c r="F203" s="16">
        <v>46233</v>
      </c>
      <c r="G203" s="13">
        <v>12</v>
      </c>
      <c r="H203" s="17">
        <v>4295</v>
      </c>
      <c r="I203" s="18">
        <f t="shared" ref="I203:I256" si="8">H203/D203</f>
        <v>6.2792397660818713</v>
      </c>
      <c r="J203" s="19">
        <v>1</v>
      </c>
      <c r="K203" s="20">
        <f t="shared" si="7"/>
        <v>3937.0833333333335</v>
      </c>
      <c r="L203" s="13" t="s">
        <v>2</v>
      </c>
      <c r="M203" s="21" t="s">
        <v>149</v>
      </c>
    </row>
    <row r="204" spans="1:13">
      <c r="A204" s="13">
        <v>625</v>
      </c>
      <c r="B204" s="13" t="s">
        <v>34</v>
      </c>
      <c r="C204" s="14" t="s">
        <v>27</v>
      </c>
      <c r="D204" s="15">
        <v>456</v>
      </c>
      <c r="E204" s="16">
        <v>45899</v>
      </c>
      <c r="F204" s="16">
        <v>46263</v>
      </c>
      <c r="G204" s="13">
        <v>12</v>
      </c>
      <c r="H204" s="17">
        <v>3675</v>
      </c>
      <c r="I204" s="18">
        <f t="shared" si="8"/>
        <v>8.0592105263157894</v>
      </c>
      <c r="J204" s="19">
        <v>1</v>
      </c>
      <c r="K204" s="20">
        <f t="shared" si="7"/>
        <v>3368.75</v>
      </c>
      <c r="L204" s="13" t="s">
        <v>2</v>
      </c>
      <c r="M204" s="21" t="s">
        <v>149</v>
      </c>
    </row>
    <row r="205" spans="1:13">
      <c r="A205" s="13">
        <v>628</v>
      </c>
      <c r="B205" s="13" t="s">
        <v>35</v>
      </c>
      <c r="C205" s="14" t="s">
        <v>27</v>
      </c>
      <c r="D205" s="15">
        <v>456</v>
      </c>
      <c r="E205" s="16">
        <v>45889</v>
      </c>
      <c r="F205" s="16">
        <v>46253</v>
      </c>
      <c r="G205" s="13">
        <v>12</v>
      </c>
      <c r="H205" s="17">
        <v>3675</v>
      </c>
      <c r="I205" s="18">
        <f t="shared" si="8"/>
        <v>8.0592105263157894</v>
      </c>
      <c r="J205" s="19">
        <v>1</v>
      </c>
      <c r="K205" s="20">
        <f t="shared" si="7"/>
        <v>3368.75</v>
      </c>
      <c r="L205" s="13" t="s">
        <v>2</v>
      </c>
      <c r="M205" s="21" t="s">
        <v>149</v>
      </c>
    </row>
    <row r="206" spans="1:13">
      <c r="A206" s="13">
        <v>630</v>
      </c>
      <c r="B206" s="13" t="s">
        <v>35</v>
      </c>
      <c r="C206" s="14" t="s">
        <v>27</v>
      </c>
      <c r="D206" s="15">
        <v>456</v>
      </c>
      <c r="E206" s="16">
        <v>45929</v>
      </c>
      <c r="F206" s="16">
        <v>46279</v>
      </c>
      <c r="G206" s="13">
        <v>12</v>
      </c>
      <c r="H206" s="17">
        <v>3675</v>
      </c>
      <c r="I206" s="18">
        <f t="shared" si="8"/>
        <v>8.0592105263157894</v>
      </c>
      <c r="J206" s="19">
        <v>1</v>
      </c>
      <c r="K206" s="20">
        <f t="shared" si="7"/>
        <v>3368.75</v>
      </c>
      <c r="L206" s="13" t="s">
        <v>10</v>
      </c>
      <c r="M206" s="21" t="s">
        <v>149</v>
      </c>
    </row>
    <row r="207" spans="1:13">
      <c r="A207" s="13">
        <v>631</v>
      </c>
      <c r="B207" s="13" t="s">
        <v>34</v>
      </c>
      <c r="C207" s="14" t="s">
        <v>27</v>
      </c>
      <c r="D207" s="15">
        <v>456</v>
      </c>
      <c r="E207" s="16">
        <v>45901</v>
      </c>
      <c r="F207" s="16">
        <v>46265</v>
      </c>
      <c r="G207" s="13">
        <v>12</v>
      </c>
      <c r="H207" s="17">
        <v>3675</v>
      </c>
      <c r="I207" s="18">
        <f t="shared" si="8"/>
        <v>8.0592105263157894</v>
      </c>
      <c r="J207" s="19">
        <v>1</v>
      </c>
      <c r="K207" s="20">
        <f t="shared" si="7"/>
        <v>3368.75</v>
      </c>
      <c r="L207" s="13" t="s">
        <v>10</v>
      </c>
      <c r="M207" s="21" t="s">
        <v>149</v>
      </c>
    </row>
    <row r="208" spans="1:13">
      <c r="A208" s="13">
        <v>632</v>
      </c>
      <c r="B208" s="13" t="s">
        <v>58</v>
      </c>
      <c r="C208" s="14" t="s">
        <v>14</v>
      </c>
      <c r="D208" s="15">
        <v>958</v>
      </c>
      <c r="E208" s="16">
        <v>45778</v>
      </c>
      <c r="F208" s="16">
        <v>46142</v>
      </c>
      <c r="G208" s="13">
        <v>12</v>
      </c>
      <c r="H208" s="17">
        <v>5865</v>
      </c>
      <c r="I208" s="18">
        <f t="shared" si="8"/>
        <v>6.1221294363256789</v>
      </c>
      <c r="J208" s="19">
        <v>1</v>
      </c>
      <c r="K208" s="20">
        <f t="shared" si="7"/>
        <v>5376.25</v>
      </c>
      <c r="L208" s="13" t="s">
        <v>2</v>
      </c>
      <c r="M208" s="21" t="s">
        <v>149</v>
      </c>
    </row>
    <row r="209" spans="1:13">
      <c r="A209" s="13">
        <v>633</v>
      </c>
      <c r="B209" s="13" t="s">
        <v>89</v>
      </c>
      <c r="C209" s="14" t="s">
        <v>9</v>
      </c>
      <c r="D209" s="15">
        <v>1018</v>
      </c>
      <c r="E209" s="16">
        <v>45864</v>
      </c>
      <c r="F209" s="16">
        <v>46228</v>
      </c>
      <c r="G209" s="13">
        <v>12</v>
      </c>
      <c r="H209" s="17">
        <v>5915</v>
      </c>
      <c r="I209" s="18">
        <f t="shared" si="8"/>
        <v>5.8104125736738705</v>
      </c>
      <c r="J209" s="19">
        <v>1</v>
      </c>
      <c r="K209" s="20">
        <f t="shared" si="7"/>
        <v>5422.083333333333</v>
      </c>
      <c r="L209" s="13" t="s">
        <v>10</v>
      </c>
      <c r="M209" s="21" t="s">
        <v>149</v>
      </c>
    </row>
    <row r="210" spans="1:13">
      <c r="A210" s="13">
        <v>635</v>
      </c>
      <c r="B210" s="13" t="s">
        <v>90</v>
      </c>
      <c r="C210" s="14" t="s">
        <v>9</v>
      </c>
      <c r="D210" s="15">
        <v>1801</v>
      </c>
      <c r="E210" s="16">
        <v>45731</v>
      </c>
      <c r="F210" s="16">
        <v>46095</v>
      </c>
      <c r="G210" s="13">
        <v>12</v>
      </c>
      <c r="H210" s="17">
        <v>10365</v>
      </c>
      <c r="I210" s="18">
        <f t="shared" si="8"/>
        <v>5.7551360355358137</v>
      </c>
      <c r="J210" s="19">
        <v>1</v>
      </c>
      <c r="K210" s="20">
        <f t="shared" si="7"/>
        <v>9501.25</v>
      </c>
      <c r="L210" s="13" t="s">
        <v>10</v>
      </c>
      <c r="M210" s="21" t="s">
        <v>149</v>
      </c>
    </row>
    <row r="211" spans="1:13">
      <c r="A211" s="13">
        <v>637</v>
      </c>
      <c r="B211" s="13" t="s">
        <v>91</v>
      </c>
      <c r="C211" s="14" t="s">
        <v>31</v>
      </c>
      <c r="D211" s="15">
        <v>697</v>
      </c>
      <c r="E211" s="16">
        <v>45667</v>
      </c>
      <c r="F211" s="16">
        <v>46577</v>
      </c>
      <c r="G211" s="13">
        <v>30</v>
      </c>
      <c r="H211" s="17">
        <v>4745</v>
      </c>
      <c r="I211" s="18">
        <f t="shared" si="8"/>
        <v>6.8077474892395982</v>
      </c>
      <c r="J211" s="19">
        <v>2</v>
      </c>
      <c r="K211" s="20">
        <f t="shared" si="7"/>
        <v>4428.666666666667</v>
      </c>
      <c r="L211" s="13" t="s">
        <v>59</v>
      </c>
      <c r="M211" s="21" t="s">
        <v>149</v>
      </c>
    </row>
    <row r="212" spans="1:13">
      <c r="A212" s="13">
        <v>638</v>
      </c>
      <c r="B212" s="13" t="s">
        <v>92</v>
      </c>
      <c r="C212" s="14" t="s">
        <v>9</v>
      </c>
      <c r="D212" s="15">
        <v>1115</v>
      </c>
      <c r="E212" s="16">
        <v>45853</v>
      </c>
      <c r="F212" s="16">
        <v>46217</v>
      </c>
      <c r="G212" s="13">
        <v>6</v>
      </c>
      <c r="H212" s="17">
        <v>7465</v>
      </c>
      <c r="I212" s="18">
        <f t="shared" si="8"/>
        <v>6.695067264573991</v>
      </c>
      <c r="J212" s="19">
        <v>0</v>
      </c>
      <c r="K212" s="20">
        <f t="shared" si="7"/>
        <v>7465</v>
      </c>
      <c r="L212" s="13" t="s">
        <v>4</v>
      </c>
      <c r="M212" s="21" t="s">
        <v>149</v>
      </c>
    </row>
    <row r="213" spans="1:13">
      <c r="A213" s="13">
        <v>641</v>
      </c>
      <c r="B213" s="13" t="s">
        <v>93</v>
      </c>
      <c r="C213" s="14" t="s">
        <v>1</v>
      </c>
      <c r="D213" s="15">
        <v>719</v>
      </c>
      <c r="E213" s="16">
        <v>45910</v>
      </c>
      <c r="F213" s="16">
        <v>46212</v>
      </c>
      <c r="G213" s="13">
        <v>9</v>
      </c>
      <c r="H213" s="17">
        <v>4745</v>
      </c>
      <c r="I213" s="18">
        <f t="shared" si="8"/>
        <v>6.5994436717663421</v>
      </c>
      <c r="J213" s="19">
        <v>0</v>
      </c>
      <c r="K213" s="20">
        <f t="shared" si="7"/>
        <v>4745</v>
      </c>
      <c r="L213" s="13" t="s">
        <v>4</v>
      </c>
      <c r="M213" s="21" t="s">
        <v>149</v>
      </c>
    </row>
    <row r="214" spans="1:13">
      <c r="A214" s="13">
        <v>643</v>
      </c>
      <c r="B214" s="13" t="s">
        <v>94</v>
      </c>
      <c r="C214" s="14" t="s">
        <v>25</v>
      </c>
      <c r="D214" s="15">
        <v>870</v>
      </c>
      <c r="E214" s="16">
        <v>45688</v>
      </c>
      <c r="F214" s="16">
        <v>46052</v>
      </c>
      <c r="G214" s="13">
        <v>12</v>
      </c>
      <c r="H214" s="17">
        <v>5045</v>
      </c>
      <c r="I214" s="18">
        <f t="shared" si="8"/>
        <v>5.7988505747126435</v>
      </c>
      <c r="J214" s="19">
        <v>1</v>
      </c>
      <c r="K214" s="20">
        <f t="shared" si="7"/>
        <v>4624.583333333333</v>
      </c>
      <c r="L214" s="13" t="s">
        <v>2</v>
      </c>
      <c r="M214" s="21" t="s">
        <v>149</v>
      </c>
    </row>
    <row r="215" spans="1:13">
      <c r="A215" s="13">
        <v>644</v>
      </c>
      <c r="B215" s="13" t="s">
        <v>95</v>
      </c>
      <c r="C215" s="14" t="s">
        <v>31</v>
      </c>
      <c r="D215" s="15">
        <v>717</v>
      </c>
      <c r="E215" s="16">
        <v>45891</v>
      </c>
      <c r="F215" s="16">
        <v>46074</v>
      </c>
      <c r="G215" s="13">
        <v>6</v>
      </c>
      <c r="H215" s="17">
        <v>4745</v>
      </c>
      <c r="I215" s="18">
        <f t="shared" si="8"/>
        <v>6.6178521617852164</v>
      </c>
      <c r="J215" s="19">
        <v>0</v>
      </c>
      <c r="K215" s="20">
        <f t="shared" ref="K215:K256" si="9">H215*SUM(G215-J215)/G215</f>
        <v>4745</v>
      </c>
      <c r="L215" s="13" t="s">
        <v>10</v>
      </c>
      <c r="M215" s="21" t="s">
        <v>149</v>
      </c>
    </row>
    <row r="216" spans="1:13">
      <c r="A216" s="13">
        <v>647</v>
      </c>
      <c r="B216" s="13" t="s">
        <v>96</v>
      </c>
      <c r="C216" s="14" t="s">
        <v>14</v>
      </c>
      <c r="D216" s="15">
        <v>1115</v>
      </c>
      <c r="E216" s="16">
        <v>45913</v>
      </c>
      <c r="F216" s="16">
        <v>46277</v>
      </c>
      <c r="G216" s="13">
        <v>12</v>
      </c>
      <c r="H216" s="17">
        <v>7465</v>
      </c>
      <c r="I216" s="18">
        <f t="shared" si="8"/>
        <v>6.695067264573991</v>
      </c>
      <c r="J216" s="19">
        <v>1</v>
      </c>
      <c r="K216" s="20">
        <f t="shared" si="9"/>
        <v>6842.916666666667</v>
      </c>
      <c r="L216" s="13" t="s">
        <v>2</v>
      </c>
      <c r="M216" s="21" t="s">
        <v>149</v>
      </c>
    </row>
    <row r="217" spans="1:13">
      <c r="A217" s="13">
        <v>648</v>
      </c>
      <c r="B217" s="13" t="s">
        <v>97</v>
      </c>
      <c r="C217" s="14" t="s">
        <v>98</v>
      </c>
      <c r="D217" s="15">
        <v>739</v>
      </c>
      <c r="E217" s="16">
        <v>45901</v>
      </c>
      <c r="F217" s="16">
        <v>46265</v>
      </c>
      <c r="G217" s="13">
        <v>12</v>
      </c>
      <c r="H217" s="17">
        <v>4745</v>
      </c>
      <c r="I217" s="18">
        <f t="shared" si="8"/>
        <v>6.4208389715832208</v>
      </c>
      <c r="J217" s="19">
        <v>1</v>
      </c>
      <c r="K217" s="20">
        <f t="shared" si="9"/>
        <v>4349.583333333333</v>
      </c>
      <c r="L217" s="13" t="s">
        <v>4</v>
      </c>
      <c r="M217" s="21" t="s">
        <v>149</v>
      </c>
    </row>
    <row r="218" spans="1:13">
      <c r="A218" s="13">
        <v>649</v>
      </c>
      <c r="B218" s="13" t="s">
        <v>99</v>
      </c>
      <c r="C218" s="14" t="s">
        <v>100</v>
      </c>
      <c r="D218" s="15">
        <v>1820</v>
      </c>
      <c r="E218" s="16">
        <v>45846</v>
      </c>
      <c r="F218" s="16">
        <v>46210</v>
      </c>
      <c r="G218" s="13">
        <v>12</v>
      </c>
      <c r="H218" s="17">
        <v>12515</v>
      </c>
      <c r="I218" s="18">
        <f t="shared" si="8"/>
        <v>6.8763736263736268</v>
      </c>
      <c r="J218" s="19">
        <v>1</v>
      </c>
      <c r="K218" s="20">
        <f t="shared" si="9"/>
        <v>11472.083333333334</v>
      </c>
      <c r="L218" s="13" t="s">
        <v>10</v>
      </c>
      <c r="M218" s="21" t="s">
        <v>149</v>
      </c>
    </row>
    <row r="219" spans="1:13">
      <c r="A219" s="13">
        <v>651</v>
      </c>
      <c r="B219" s="13" t="s">
        <v>101</v>
      </c>
      <c r="C219" s="14" t="s">
        <v>14</v>
      </c>
      <c r="D219" s="15">
        <v>1209</v>
      </c>
      <c r="E219" s="16">
        <v>45778</v>
      </c>
      <c r="F219" s="16">
        <v>46142</v>
      </c>
      <c r="G219" s="13">
        <v>12</v>
      </c>
      <c r="H219" s="17">
        <v>6215</v>
      </c>
      <c r="I219" s="18">
        <f t="shared" si="8"/>
        <v>5.1406120760959473</v>
      </c>
      <c r="J219" s="19">
        <v>1</v>
      </c>
      <c r="K219" s="20">
        <f t="shared" si="9"/>
        <v>5697.083333333333</v>
      </c>
      <c r="L219" s="13" t="s">
        <v>10</v>
      </c>
      <c r="M219" s="21" t="s">
        <v>149</v>
      </c>
    </row>
    <row r="220" spans="1:13">
      <c r="A220" s="13">
        <v>652</v>
      </c>
      <c r="B220" s="13" t="s">
        <v>102</v>
      </c>
      <c r="C220" s="14" t="s">
        <v>103</v>
      </c>
      <c r="D220" s="15">
        <v>1060</v>
      </c>
      <c r="E220" s="16">
        <v>45688</v>
      </c>
      <c r="F220" s="16">
        <v>46052</v>
      </c>
      <c r="G220" s="13">
        <v>12</v>
      </c>
      <c r="H220" s="17">
        <v>4915</v>
      </c>
      <c r="I220" s="18">
        <f t="shared" si="8"/>
        <v>4.6367924528301883</v>
      </c>
      <c r="J220" s="19">
        <v>1</v>
      </c>
      <c r="K220" s="20">
        <f t="shared" si="9"/>
        <v>4505.416666666667</v>
      </c>
      <c r="L220" s="13" t="s">
        <v>2</v>
      </c>
      <c r="M220" s="21" t="s">
        <v>149</v>
      </c>
    </row>
    <row r="221" spans="1:13">
      <c r="A221" s="13">
        <v>653</v>
      </c>
      <c r="B221" s="13" t="s">
        <v>85</v>
      </c>
      <c r="C221" s="14" t="s">
        <v>1</v>
      </c>
      <c r="D221" s="15">
        <v>591</v>
      </c>
      <c r="E221" s="16">
        <v>45899</v>
      </c>
      <c r="F221" s="16">
        <v>46263</v>
      </c>
      <c r="G221" s="13">
        <v>12</v>
      </c>
      <c r="H221" s="17">
        <v>4075</v>
      </c>
      <c r="I221" s="18">
        <f t="shared" si="8"/>
        <v>6.8950930626057527</v>
      </c>
      <c r="J221" s="19">
        <v>1</v>
      </c>
      <c r="K221" s="20">
        <f t="shared" si="9"/>
        <v>3735.4166666666665</v>
      </c>
      <c r="L221" s="13"/>
      <c r="M221" s="21" t="s">
        <v>149</v>
      </c>
    </row>
    <row r="222" spans="1:13">
      <c r="A222" s="13">
        <v>655</v>
      </c>
      <c r="B222" s="13" t="s">
        <v>86</v>
      </c>
      <c r="C222" s="14" t="s">
        <v>31</v>
      </c>
      <c r="D222" s="15">
        <v>599</v>
      </c>
      <c r="E222" s="16">
        <v>45836</v>
      </c>
      <c r="F222" s="16">
        <v>46200</v>
      </c>
      <c r="G222" s="13">
        <v>12</v>
      </c>
      <c r="H222" s="17">
        <v>4075</v>
      </c>
      <c r="I222" s="18">
        <f t="shared" si="8"/>
        <v>6.8030050083472453</v>
      </c>
      <c r="J222" s="19">
        <v>1</v>
      </c>
      <c r="K222" s="20">
        <f t="shared" si="9"/>
        <v>3735.4166666666665</v>
      </c>
      <c r="L222" s="13" t="s">
        <v>2</v>
      </c>
      <c r="M222" s="21" t="s">
        <v>149</v>
      </c>
    </row>
    <row r="223" spans="1:13">
      <c r="A223" s="13">
        <v>656</v>
      </c>
      <c r="B223" s="13" t="s">
        <v>77</v>
      </c>
      <c r="C223" s="14" t="s">
        <v>25</v>
      </c>
      <c r="D223" s="15">
        <v>889</v>
      </c>
      <c r="E223" s="16">
        <v>45759</v>
      </c>
      <c r="F223" s="16">
        <v>46123</v>
      </c>
      <c r="G223" s="13">
        <v>12</v>
      </c>
      <c r="H223" s="17">
        <v>4775</v>
      </c>
      <c r="I223" s="18">
        <f t="shared" si="8"/>
        <v>5.3712035995500562</v>
      </c>
      <c r="J223" s="19">
        <v>1</v>
      </c>
      <c r="K223" s="20">
        <f t="shared" si="9"/>
        <v>4377.083333333333</v>
      </c>
      <c r="L223" s="13" t="s">
        <v>10</v>
      </c>
      <c r="M223" s="21" t="s">
        <v>149</v>
      </c>
    </row>
    <row r="224" spans="1:13">
      <c r="A224" s="13">
        <v>701</v>
      </c>
      <c r="B224" s="13" t="s">
        <v>104</v>
      </c>
      <c r="C224" s="14" t="s">
        <v>100</v>
      </c>
      <c r="D224" s="15">
        <v>1522</v>
      </c>
      <c r="E224" s="16">
        <v>45737</v>
      </c>
      <c r="F224" s="16">
        <v>46101</v>
      </c>
      <c r="G224" s="13">
        <v>12</v>
      </c>
      <c r="H224" s="17">
        <v>10140</v>
      </c>
      <c r="I224" s="18">
        <f t="shared" si="8"/>
        <v>6.6622864651773979</v>
      </c>
      <c r="J224" s="19">
        <v>1</v>
      </c>
      <c r="K224" s="20">
        <f t="shared" si="9"/>
        <v>9295</v>
      </c>
      <c r="L224" s="13" t="s">
        <v>10</v>
      </c>
      <c r="M224" s="21" t="s">
        <v>149</v>
      </c>
    </row>
    <row r="225" spans="1:13">
      <c r="A225" s="13">
        <v>704</v>
      </c>
      <c r="B225" s="13" t="s">
        <v>26</v>
      </c>
      <c r="C225" s="14" t="s">
        <v>27</v>
      </c>
      <c r="D225" s="15">
        <v>452</v>
      </c>
      <c r="E225" s="16">
        <v>46041</v>
      </c>
      <c r="F225" s="16">
        <v>46342</v>
      </c>
      <c r="G225" s="13">
        <v>10</v>
      </c>
      <c r="H225" s="17">
        <v>3700</v>
      </c>
      <c r="I225" s="18">
        <f t="shared" si="8"/>
        <v>8.1858407079646014</v>
      </c>
      <c r="J225" s="19">
        <v>0</v>
      </c>
      <c r="K225" s="20">
        <f t="shared" si="9"/>
        <v>3700</v>
      </c>
      <c r="L225" s="13" t="s">
        <v>4</v>
      </c>
      <c r="M225" s="21" t="s">
        <v>149</v>
      </c>
    </row>
    <row r="226" spans="1:13">
      <c r="A226" s="13">
        <v>705</v>
      </c>
      <c r="B226" s="13" t="s">
        <v>29</v>
      </c>
      <c r="C226" s="14" t="s">
        <v>27</v>
      </c>
      <c r="D226" s="15">
        <v>452</v>
      </c>
      <c r="E226" s="16">
        <v>45899</v>
      </c>
      <c r="F226" s="16">
        <v>46263</v>
      </c>
      <c r="G226" s="13">
        <v>12</v>
      </c>
      <c r="H226" s="17">
        <v>3700</v>
      </c>
      <c r="I226" s="18">
        <f t="shared" si="8"/>
        <v>8.1858407079646014</v>
      </c>
      <c r="J226" s="19">
        <v>1</v>
      </c>
      <c r="K226" s="20">
        <f t="shared" si="9"/>
        <v>3391.6666666666665</v>
      </c>
      <c r="L226" s="13" t="s">
        <v>2</v>
      </c>
      <c r="M226" s="21" t="s">
        <v>149</v>
      </c>
    </row>
    <row r="227" spans="1:13">
      <c r="A227" s="13">
        <v>707</v>
      </c>
      <c r="B227" s="13" t="s">
        <v>29</v>
      </c>
      <c r="C227" s="14" t="s">
        <v>27</v>
      </c>
      <c r="D227" s="15">
        <v>458</v>
      </c>
      <c r="E227" s="16">
        <v>45899</v>
      </c>
      <c r="F227" s="16">
        <v>46263</v>
      </c>
      <c r="G227" s="13">
        <v>12</v>
      </c>
      <c r="H227" s="17">
        <v>3700</v>
      </c>
      <c r="I227" s="18">
        <f t="shared" si="8"/>
        <v>8.0786026200873362</v>
      </c>
      <c r="J227" s="19">
        <v>1</v>
      </c>
      <c r="K227" s="20">
        <f t="shared" si="9"/>
        <v>3391.6666666666665</v>
      </c>
      <c r="L227" s="13" t="s">
        <v>2</v>
      </c>
      <c r="M227" s="21" t="s">
        <v>149</v>
      </c>
    </row>
    <row r="228" spans="1:13">
      <c r="A228" s="13">
        <v>709</v>
      </c>
      <c r="B228" s="13" t="s">
        <v>105</v>
      </c>
      <c r="C228" s="14" t="s">
        <v>14</v>
      </c>
      <c r="D228" s="15">
        <v>858</v>
      </c>
      <c r="E228" s="16">
        <v>45807</v>
      </c>
      <c r="F228" s="16">
        <v>46192</v>
      </c>
      <c r="G228" s="13">
        <v>13</v>
      </c>
      <c r="H228" s="17">
        <v>5870</v>
      </c>
      <c r="I228" s="18">
        <f t="shared" si="8"/>
        <v>6.8414918414918411</v>
      </c>
      <c r="J228" s="19">
        <v>1</v>
      </c>
      <c r="K228" s="20">
        <f t="shared" si="9"/>
        <v>5418.4615384615381</v>
      </c>
      <c r="L228" s="13" t="s">
        <v>10</v>
      </c>
      <c r="M228" s="21" t="s">
        <v>149</v>
      </c>
    </row>
    <row r="229" spans="1:13">
      <c r="A229" s="13">
        <v>710</v>
      </c>
      <c r="B229" s="13" t="s">
        <v>79</v>
      </c>
      <c r="C229" s="14" t="s">
        <v>14</v>
      </c>
      <c r="D229" s="15">
        <v>884</v>
      </c>
      <c r="E229" s="16">
        <v>45868</v>
      </c>
      <c r="F229" s="16">
        <v>46232</v>
      </c>
      <c r="G229" s="13">
        <v>12</v>
      </c>
      <c r="H229" s="17">
        <v>5520</v>
      </c>
      <c r="I229" s="18">
        <f t="shared" si="8"/>
        <v>6.244343891402715</v>
      </c>
      <c r="J229" s="19">
        <v>1</v>
      </c>
      <c r="K229" s="20">
        <f t="shared" si="9"/>
        <v>5060</v>
      </c>
      <c r="L229" s="13" t="s">
        <v>10</v>
      </c>
      <c r="M229" s="21" t="s">
        <v>149</v>
      </c>
    </row>
    <row r="230" spans="1:13">
      <c r="A230" s="13">
        <v>712</v>
      </c>
      <c r="B230" s="13" t="s">
        <v>29</v>
      </c>
      <c r="C230" s="14" t="s">
        <v>27</v>
      </c>
      <c r="D230" s="15">
        <v>451</v>
      </c>
      <c r="E230" s="16">
        <v>45896</v>
      </c>
      <c r="F230" s="16">
        <v>46260</v>
      </c>
      <c r="G230" s="13">
        <v>12</v>
      </c>
      <c r="H230" s="17">
        <v>3550</v>
      </c>
      <c r="I230" s="18">
        <f t="shared" si="8"/>
        <v>7.8713968957871394</v>
      </c>
      <c r="J230" s="19">
        <v>1</v>
      </c>
      <c r="K230" s="20">
        <f t="shared" si="9"/>
        <v>3254.1666666666665</v>
      </c>
      <c r="L230" s="13" t="s">
        <v>106</v>
      </c>
      <c r="M230" s="21" t="s">
        <v>149</v>
      </c>
    </row>
    <row r="231" spans="1:13">
      <c r="A231" s="13">
        <v>713</v>
      </c>
      <c r="B231" s="13" t="s">
        <v>54</v>
      </c>
      <c r="C231" s="14" t="s">
        <v>1</v>
      </c>
      <c r="D231" s="15">
        <v>654</v>
      </c>
      <c r="E231" s="16">
        <v>45884</v>
      </c>
      <c r="F231" s="16">
        <v>46248</v>
      </c>
      <c r="G231" s="13">
        <v>12</v>
      </c>
      <c r="H231" s="17">
        <v>4300</v>
      </c>
      <c r="I231" s="18">
        <f t="shared" si="8"/>
        <v>6.574923547400612</v>
      </c>
      <c r="J231" s="19">
        <v>1</v>
      </c>
      <c r="K231" s="20">
        <f t="shared" si="9"/>
        <v>3941.6666666666665</v>
      </c>
      <c r="L231" s="13" t="s">
        <v>2</v>
      </c>
      <c r="M231" s="21" t="s">
        <v>149</v>
      </c>
    </row>
    <row r="232" spans="1:13">
      <c r="A232" s="13">
        <v>721</v>
      </c>
      <c r="B232" s="13" t="s">
        <v>57</v>
      </c>
      <c r="C232" s="14" t="s">
        <v>31</v>
      </c>
      <c r="D232" s="15">
        <v>684</v>
      </c>
      <c r="E232" s="16">
        <v>45875</v>
      </c>
      <c r="F232" s="16">
        <v>46239</v>
      </c>
      <c r="G232" s="13">
        <v>12</v>
      </c>
      <c r="H232" s="17">
        <v>4470</v>
      </c>
      <c r="I232" s="18">
        <f t="shared" si="8"/>
        <v>6.5350877192982457</v>
      </c>
      <c r="J232" s="19">
        <v>1</v>
      </c>
      <c r="K232" s="20">
        <f t="shared" si="9"/>
        <v>4097.5</v>
      </c>
      <c r="L232" s="13" t="s">
        <v>2</v>
      </c>
      <c r="M232" s="21" t="s">
        <v>149</v>
      </c>
    </row>
    <row r="233" spans="1:13">
      <c r="A233" s="13">
        <v>722</v>
      </c>
      <c r="B233" s="13" t="s">
        <v>15</v>
      </c>
      <c r="C233" s="14" t="s">
        <v>31</v>
      </c>
      <c r="D233" s="15">
        <v>684</v>
      </c>
      <c r="E233" s="16">
        <v>45868</v>
      </c>
      <c r="F233" s="16">
        <v>46232</v>
      </c>
      <c r="G233" s="13">
        <v>12</v>
      </c>
      <c r="H233" s="17">
        <v>4470</v>
      </c>
      <c r="I233" s="18">
        <f t="shared" si="8"/>
        <v>6.5350877192982457</v>
      </c>
      <c r="J233" s="19">
        <v>1</v>
      </c>
      <c r="K233" s="20">
        <f t="shared" si="9"/>
        <v>4097.5</v>
      </c>
      <c r="L233" s="13" t="s">
        <v>10</v>
      </c>
      <c r="M233" s="21" t="s">
        <v>149</v>
      </c>
    </row>
    <row r="234" spans="1:13">
      <c r="A234" s="13">
        <v>723</v>
      </c>
      <c r="B234" s="13" t="s">
        <v>33</v>
      </c>
      <c r="C234" s="14" t="s">
        <v>1</v>
      </c>
      <c r="D234" s="15">
        <v>684</v>
      </c>
      <c r="E234" s="16">
        <v>45809</v>
      </c>
      <c r="F234" s="16">
        <v>46173</v>
      </c>
      <c r="G234" s="13">
        <v>12</v>
      </c>
      <c r="H234" s="17">
        <v>4320</v>
      </c>
      <c r="I234" s="18">
        <f t="shared" si="8"/>
        <v>6.3157894736842106</v>
      </c>
      <c r="J234" s="19">
        <v>1</v>
      </c>
      <c r="K234" s="20">
        <f t="shared" si="9"/>
        <v>3960</v>
      </c>
      <c r="L234" s="13" t="s">
        <v>2</v>
      </c>
      <c r="M234" s="21" t="s">
        <v>149</v>
      </c>
    </row>
    <row r="235" spans="1:13">
      <c r="A235" s="13">
        <v>724</v>
      </c>
      <c r="B235" s="13" t="s">
        <v>68</v>
      </c>
      <c r="C235" s="14" t="s">
        <v>1</v>
      </c>
      <c r="D235" s="15">
        <v>684</v>
      </c>
      <c r="E235" s="16">
        <v>45833</v>
      </c>
      <c r="F235" s="16">
        <v>46197</v>
      </c>
      <c r="G235" s="13">
        <v>12</v>
      </c>
      <c r="H235" s="17">
        <v>4320</v>
      </c>
      <c r="I235" s="18">
        <f t="shared" si="8"/>
        <v>6.3157894736842106</v>
      </c>
      <c r="J235" s="19">
        <v>1</v>
      </c>
      <c r="K235" s="20">
        <f t="shared" si="9"/>
        <v>3960</v>
      </c>
      <c r="L235" s="13" t="s">
        <v>10</v>
      </c>
      <c r="M235" s="21" t="s">
        <v>149</v>
      </c>
    </row>
    <row r="236" spans="1:13">
      <c r="A236" s="13">
        <v>732</v>
      </c>
      <c r="B236" s="13" t="s">
        <v>58</v>
      </c>
      <c r="C236" s="14" t="s">
        <v>14</v>
      </c>
      <c r="D236" s="15">
        <v>958</v>
      </c>
      <c r="E236" s="16">
        <v>45832</v>
      </c>
      <c r="F236" s="16">
        <v>46196</v>
      </c>
      <c r="G236" s="13">
        <v>12</v>
      </c>
      <c r="H236" s="17">
        <v>5890</v>
      </c>
      <c r="I236" s="18">
        <f t="shared" si="8"/>
        <v>6.148225469728601</v>
      </c>
      <c r="J236" s="19">
        <v>1</v>
      </c>
      <c r="K236" s="20">
        <f t="shared" si="9"/>
        <v>5399.166666666667</v>
      </c>
      <c r="L236" s="13" t="s">
        <v>10</v>
      </c>
      <c r="M236" s="21" t="s">
        <v>149</v>
      </c>
    </row>
    <row r="237" spans="1:13">
      <c r="A237" s="13">
        <v>733</v>
      </c>
      <c r="B237" s="13" t="s">
        <v>89</v>
      </c>
      <c r="C237" s="14" t="s">
        <v>14</v>
      </c>
      <c r="D237" s="15">
        <v>1018</v>
      </c>
      <c r="E237" s="16">
        <v>45824</v>
      </c>
      <c r="F237" s="16">
        <v>46188</v>
      </c>
      <c r="G237" s="13">
        <v>12</v>
      </c>
      <c r="H237" s="17">
        <v>5940</v>
      </c>
      <c r="I237" s="18">
        <f t="shared" si="8"/>
        <v>5.8349705304518666</v>
      </c>
      <c r="J237" s="19">
        <v>1</v>
      </c>
      <c r="K237" s="20">
        <f t="shared" si="9"/>
        <v>5445</v>
      </c>
      <c r="L237" s="13" t="s">
        <v>10</v>
      </c>
      <c r="M237" s="21" t="s">
        <v>149</v>
      </c>
    </row>
    <row r="238" spans="1:13">
      <c r="A238" s="13">
        <v>735</v>
      </c>
      <c r="B238" s="13" t="s">
        <v>107</v>
      </c>
      <c r="C238" s="14" t="s">
        <v>100</v>
      </c>
      <c r="D238" s="15">
        <v>1565</v>
      </c>
      <c r="E238" s="16">
        <v>45835</v>
      </c>
      <c r="F238" s="16">
        <v>46199</v>
      </c>
      <c r="G238" s="13">
        <v>12</v>
      </c>
      <c r="H238" s="17">
        <v>10390</v>
      </c>
      <c r="I238" s="18">
        <f t="shared" si="8"/>
        <v>6.6389776357827479</v>
      </c>
      <c r="J238" s="19">
        <v>1</v>
      </c>
      <c r="K238" s="20">
        <f t="shared" si="9"/>
        <v>9524.1666666666661</v>
      </c>
      <c r="L238" s="13" t="s">
        <v>10</v>
      </c>
      <c r="M238" s="21" t="s">
        <v>149</v>
      </c>
    </row>
    <row r="239" spans="1:13">
      <c r="A239" s="13">
        <v>737</v>
      </c>
      <c r="B239" s="13" t="s">
        <v>108</v>
      </c>
      <c r="C239" s="14" t="s">
        <v>31</v>
      </c>
      <c r="D239" s="15">
        <v>701</v>
      </c>
      <c r="E239" s="16">
        <v>45555</v>
      </c>
      <c r="F239" s="16">
        <v>46100</v>
      </c>
      <c r="G239" s="13">
        <v>18</v>
      </c>
      <c r="H239" s="17">
        <v>4320</v>
      </c>
      <c r="I239" s="18">
        <f t="shared" si="8"/>
        <v>6.1626248216833099</v>
      </c>
      <c r="J239" s="19">
        <v>1</v>
      </c>
      <c r="K239" s="20">
        <f t="shared" si="9"/>
        <v>4080</v>
      </c>
      <c r="L239" s="13" t="s">
        <v>10</v>
      </c>
      <c r="M239" s="21" t="s">
        <v>149</v>
      </c>
    </row>
    <row r="240" spans="1:13">
      <c r="A240" s="13">
        <v>741</v>
      </c>
      <c r="B240" s="13" t="s">
        <v>109</v>
      </c>
      <c r="C240" s="14" t="s">
        <v>1</v>
      </c>
      <c r="D240" s="15">
        <v>727</v>
      </c>
      <c r="E240" s="16">
        <v>45852</v>
      </c>
      <c r="F240" s="16" t="s">
        <v>110</v>
      </c>
      <c r="G240" s="13">
        <v>12</v>
      </c>
      <c r="H240" s="17">
        <v>4470</v>
      </c>
      <c r="I240" s="18">
        <f t="shared" si="8"/>
        <v>6.1485557083906466</v>
      </c>
      <c r="J240" s="19">
        <v>1</v>
      </c>
      <c r="K240" s="20">
        <f t="shared" si="9"/>
        <v>4097.5</v>
      </c>
      <c r="L240" s="13" t="s">
        <v>10</v>
      </c>
      <c r="M240" s="21" t="s">
        <v>149</v>
      </c>
    </row>
    <row r="241" spans="1:13">
      <c r="A241" s="13">
        <v>742</v>
      </c>
      <c r="B241" s="13" t="s">
        <v>94</v>
      </c>
      <c r="C241" s="14" t="s">
        <v>31</v>
      </c>
      <c r="D241" s="15">
        <v>870</v>
      </c>
      <c r="E241" s="16">
        <v>45613</v>
      </c>
      <c r="F241" s="16">
        <v>45977</v>
      </c>
      <c r="G241" s="13">
        <v>12</v>
      </c>
      <c r="H241" s="17">
        <v>5170</v>
      </c>
      <c r="I241" s="18">
        <f t="shared" si="8"/>
        <v>5.9425287356321839</v>
      </c>
      <c r="J241" s="19">
        <v>1</v>
      </c>
      <c r="K241" s="20">
        <f t="shared" si="9"/>
        <v>4739.166666666667</v>
      </c>
      <c r="L241" s="13" t="s">
        <v>2</v>
      </c>
      <c r="M241" s="21" t="s">
        <v>149</v>
      </c>
    </row>
    <row r="242" spans="1:13">
      <c r="A242" s="13">
        <v>743</v>
      </c>
      <c r="B242" s="13" t="s">
        <v>111</v>
      </c>
      <c r="C242" s="14" t="s">
        <v>112</v>
      </c>
      <c r="D242" s="15">
        <v>869</v>
      </c>
      <c r="E242" s="16">
        <v>45823</v>
      </c>
      <c r="F242" s="16">
        <v>46370</v>
      </c>
      <c r="G242" s="13">
        <v>18</v>
      </c>
      <c r="H242" s="17">
        <v>5020</v>
      </c>
      <c r="I242" s="18">
        <f t="shared" si="8"/>
        <v>5.7767548906789417</v>
      </c>
      <c r="J242" s="19">
        <v>1</v>
      </c>
      <c r="K242" s="20">
        <f t="shared" si="9"/>
        <v>4741.1111111111113</v>
      </c>
      <c r="L242" s="13" t="s">
        <v>2</v>
      </c>
      <c r="M242" s="21" t="s">
        <v>149</v>
      </c>
    </row>
    <row r="243" spans="1:13">
      <c r="A243" s="13">
        <v>744</v>
      </c>
      <c r="B243" s="13" t="s">
        <v>108</v>
      </c>
      <c r="C243" s="14" t="s">
        <v>31</v>
      </c>
      <c r="D243" s="15">
        <v>713</v>
      </c>
      <c r="E243" s="16">
        <v>45798</v>
      </c>
      <c r="F243" s="16">
        <v>46162</v>
      </c>
      <c r="G243" s="13">
        <v>12</v>
      </c>
      <c r="H243" s="17">
        <v>4770</v>
      </c>
      <c r="I243" s="18">
        <f t="shared" si="8"/>
        <v>6.6900420757363257</v>
      </c>
      <c r="J243" s="19">
        <v>1</v>
      </c>
      <c r="K243" s="20">
        <f t="shared" si="9"/>
        <v>4372.5</v>
      </c>
      <c r="L243" s="13" t="s">
        <v>10</v>
      </c>
      <c r="M243" s="21" t="s">
        <v>149</v>
      </c>
    </row>
    <row r="244" spans="1:13">
      <c r="A244" s="13">
        <v>748</v>
      </c>
      <c r="B244" s="13" t="s">
        <v>113</v>
      </c>
      <c r="C244" s="14" t="s">
        <v>1</v>
      </c>
      <c r="D244" s="15">
        <v>739</v>
      </c>
      <c r="E244" s="16">
        <v>45881</v>
      </c>
      <c r="F244" s="16">
        <v>46245</v>
      </c>
      <c r="G244" s="13">
        <v>12</v>
      </c>
      <c r="H244" s="17">
        <v>6470</v>
      </c>
      <c r="I244" s="18">
        <f t="shared" si="8"/>
        <v>8.7550744248985115</v>
      </c>
      <c r="J244" s="19">
        <v>1</v>
      </c>
      <c r="K244" s="20">
        <f t="shared" si="9"/>
        <v>5930.833333333333</v>
      </c>
      <c r="L244" s="13" t="s">
        <v>2</v>
      </c>
      <c r="M244" s="21" t="s">
        <v>149</v>
      </c>
    </row>
    <row r="245" spans="1:13">
      <c r="A245" s="13">
        <v>801</v>
      </c>
      <c r="B245" s="13" t="s">
        <v>114</v>
      </c>
      <c r="C245" s="14" t="s">
        <v>100</v>
      </c>
      <c r="D245" s="15">
        <v>1530</v>
      </c>
      <c r="E245" s="16">
        <v>45869</v>
      </c>
      <c r="F245" s="16">
        <v>46233</v>
      </c>
      <c r="G245" s="13">
        <v>12</v>
      </c>
      <c r="H245" s="17">
        <v>10190</v>
      </c>
      <c r="I245" s="18">
        <f t="shared" si="8"/>
        <v>6.6601307189542487</v>
      </c>
      <c r="J245" s="19">
        <v>1</v>
      </c>
      <c r="K245" s="20">
        <f t="shared" si="9"/>
        <v>9340.8333333333339</v>
      </c>
      <c r="L245" s="13" t="s">
        <v>2</v>
      </c>
      <c r="M245" s="21" t="s">
        <v>149</v>
      </c>
    </row>
    <row r="246" spans="1:13">
      <c r="A246" s="13">
        <v>802</v>
      </c>
      <c r="B246" s="13" t="s">
        <v>115</v>
      </c>
      <c r="C246" s="14" t="s">
        <v>9</v>
      </c>
      <c r="D246" s="15">
        <v>1044</v>
      </c>
      <c r="E246" s="16">
        <v>45883</v>
      </c>
      <c r="F246" s="16">
        <v>46247</v>
      </c>
      <c r="G246" s="13">
        <v>12</v>
      </c>
      <c r="H246" s="17">
        <v>7450</v>
      </c>
      <c r="I246" s="18">
        <f t="shared" si="8"/>
        <v>7.1360153256704981</v>
      </c>
      <c r="J246" s="19">
        <v>1</v>
      </c>
      <c r="K246" s="20">
        <f t="shared" si="9"/>
        <v>6829.166666666667</v>
      </c>
      <c r="L246" s="13" t="s">
        <v>2</v>
      </c>
      <c r="M246" s="21" t="s">
        <v>149</v>
      </c>
    </row>
    <row r="247" spans="1:13">
      <c r="A247" s="13">
        <v>808</v>
      </c>
      <c r="B247" s="13" t="s">
        <v>116</v>
      </c>
      <c r="C247" s="14" t="s">
        <v>9</v>
      </c>
      <c r="D247" s="15">
        <v>1007</v>
      </c>
      <c r="E247" s="16">
        <v>45838</v>
      </c>
      <c r="F247" s="16">
        <v>46202</v>
      </c>
      <c r="G247" s="13">
        <v>12</v>
      </c>
      <c r="H247" s="17">
        <v>7590</v>
      </c>
      <c r="I247" s="18">
        <f t="shared" si="8"/>
        <v>7.5372393247269116</v>
      </c>
      <c r="J247" s="19">
        <v>1</v>
      </c>
      <c r="K247" s="20">
        <f t="shared" si="9"/>
        <v>6957.5</v>
      </c>
      <c r="L247" s="13" t="s">
        <v>2</v>
      </c>
      <c r="M247" s="21" t="s">
        <v>149</v>
      </c>
    </row>
    <row r="248" spans="1:13">
      <c r="A248" s="13">
        <v>810</v>
      </c>
      <c r="B248" s="13" t="s">
        <v>79</v>
      </c>
      <c r="C248" s="14" t="s">
        <v>14</v>
      </c>
      <c r="D248" s="15">
        <v>844</v>
      </c>
      <c r="E248" s="16">
        <v>45828</v>
      </c>
      <c r="F248" s="16">
        <v>46192</v>
      </c>
      <c r="G248" s="13">
        <v>12</v>
      </c>
      <c r="H248" s="17">
        <v>5570</v>
      </c>
      <c r="I248" s="18">
        <f t="shared" si="8"/>
        <v>6.5995260663507107</v>
      </c>
      <c r="J248" s="19">
        <v>1</v>
      </c>
      <c r="K248" s="20">
        <f t="shared" si="9"/>
        <v>5105.833333333333</v>
      </c>
      <c r="L248" s="13" t="s">
        <v>2</v>
      </c>
      <c r="M248" s="21" t="s">
        <v>149</v>
      </c>
    </row>
    <row r="249" spans="1:13">
      <c r="A249" s="13">
        <v>811</v>
      </c>
      <c r="B249" s="13" t="s">
        <v>26</v>
      </c>
      <c r="C249" s="14" t="s">
        <v>27</v>
      </c>
      <c r="D249" s="15">
        <v>452</v>
      </c>
      <c r="E249" s="16">
        <v>45877</v>
      </c>
      <c r="F249" s="16">
        <v>46241</v>
      </c>
      <c r="G249" s="13">
        <v>12</v>
      </c>
      <c r="H249" s="17">
        <v>3650</v>
      </c>
      <c r="I249" s="18">
        <f t="shared" si="8"/>
        <v>8.0752212389380524</v>
      </c>
      <c r="J249" s="19">
        <v>1</v>
      </c>
      <c r="K249" s="20">
        <f t="shared" si="9"/>
        <v>3345.8333333333335</v>
      </c>
      <c r="L249" s="13" t="s">
        <v>2</v>
      </c>
      <c r="M249" s="21" t="s">
        <v>149</v>
      </c>
    </row>
    <row r="250" spans="1:13">
      <c r="A250" s="13">
        <v>813</v>
      </c>
      <c r="B250" s="13" t="s">
        <v>54</v>
      </c>
      <c r="C250" s="14" t="s">
        <v>1</v>
      </c>
      <c r="D250" s="15">
        <v>654</v>
      </c>
      <c r="E250" s="16">
        <v>45863</v>
      </c>
      <c r="F250" s="16">
        <v>46227</v>
      </c>
      <c r="G250" s="13">
        <v>12</v>
      </c>
      <c r="H250" s="17">
        <v>4350</v>
      </c>
      <c r="I250" s="18">
        <f t="shared" si="8"/>
        <v>6.6513761467889907</v>
      </c>
      <c r="J250" s="19">
        <v>1</v>
      </c>
      <c r="K250" s="20">
        <f t="shared" si="9"/>
        <v>3987.5</v>
      </c>
      <c r="L250" s="13" t="s">
        <v>2</v>
      </c>
      <c r="M250" s="21" t="s">
        <v>149</v>
      </c>
    </row>
    <row r="251" spans="1:13">
      <c r="A251" s="13">
        <v>821</v>
      </c>
      <c r="B251" s="13" t="s">
        <v>57</v>
      </c>
      <c r="C251" s="14" t="s">
        <v>31</v>
      </c>
      <c r="D251" s="15">
        <v>684</v>
      </c>
      <c r="E251" s="16">
        <v>45834</v>
      </c>
      <c r="F251" s="16">
        <v>46198</v>
      </c>
      <c r="G251" s="13">
        <v>12</v>
      </c>
      <c r="H251" s="17">
        <v>5520</v>
      </c>
      <c r="I251" s="18">
        <f t="shared" si="8"/>
        <v>8.0701754385964914</v>
      </c>
      <c r="J251" s="19">
        <v>1</v>
      </c>
      <c r="K251" s="20">
        <f t="shared" si="9"/>
        <v>5060</v>
      </c>
      <c r="L251" s="13" t="s">
        <v>10</v>
      </c>
      <c r="M251" s="21" t="s">
        <v>149</v>
      </c>
    </row>
    <row r="252" spans="1:13">
      <c r="A252" s="13">
        <v>822</v>
      </c>
      <c r="B252" s="13" t="s">
        <v>15</v>
      </c>
      <c r="C252" s="14" t="s">
        <v>1</v>
      </c>
      <c r="D252" s="15">
        <v>684</v>
      </c>
      <c r="E252" s="16">
        <v>45832</v>
      </c>
      <c r="F252" s="16">
        <v>46196</v>
      </c>
      <c r="G252" s="13">
        <v>12</v>
      </c>
      <c r="H252" s="17">
        <v>4370</v>
      </c>
      <c r="I252" s="18">
        <f t="shared" si="8"/>
        <v>6.3888888888888893</v>
      </c>
      <c r="J252" s="19">
        <v>1</v>
      </c>
      <c r="K252" s="20">
        <f t="shared" si="9"/>
        <v>4005.8333333333335</v>
      </c>
      <c r="L252" s="13" t="s">
        <v>10</v>
      </c>
      <c r="M252" s="21" t="s">
        <v>149</v>
      </c>
    </row>
    <row r="253" spans="1:13">
      <c r="A253" s="13">
        <v>823</v>
      </c>
      <c r="B253" s="13" t="s">
        <v>33</v>
      </c>
      <c r="C253" s="14" t="s">
        <v>1</v>
      </c>
      <c r="D253" s="15">
        <v>684</v>
      </c>
      <c r="E253" s="16">
        <v>45869</v>
      </c>
      <c r="F253" s="16">
        <v>46233</v>
      </c>
      <c r="G253" s="13">
        <v>12</v>
      </c>
      <c r="H253" s="17">
        <v>4370</v>
      </c>
      <c r="I253" s="18">
        <f t="shared" si="8"/>
        <v>6.3888888888888893</v>
      </c>
      <c r="J253" s="19">
        <v>1</v>
      </c>
      <c r="K253" s="20">
        <f t="shared" si="9"/>
        <v>4005.8333333333335</v>
      </c>
      <c r="L253" s="13" t="s">
        <v>2</v>
      </c>
      <c r="M253" s="21" t="s">
        <v>149</v>
      </c>
    </row>
    <row r="254" spans="1:13">
      <c r="A254" s="13">
        <v>824</v>
      </c>
      <c r="B254" s="13" t="s">
        <v>68</v>
      </c>
      <c r="C254" s="14" t="s">
        <v>31</v>
      </c>
      <c r="D254" s="15">
        <v>684</v>
      </c>
      <c r="E254" s="16">
        <v>45611</v>
      </c>
      <c r="F254" s="16">
        <v>46036</v>
      </c>
      <c r="G254" s="13">
        <v>14</v>
      </c>
      <c r="H254" s="17">
        <v>4370</v>
      </c>
      <c r="I254" s="18">
        <f t="shared" si="8"/>
        <v>6.3888888888888893</v>
      </c>
      <c r="J254" s="19">
        <v>1</v>
      </c>
      <c r="K254" s="20">
        <f t="shared" si="9"/>
        <v>4057.8571428571427</v>
      </c>
      <c r="L254" s="13" t="s">
        <v>69</v>
      </c>
      <c r="M254" s="21" t="s">
        <v>149</v>
      </c>
    </row>
    <row r="255" spans="1:13">
      <c r="A255" s="13">
        <v>849</v>
      </c>
      <c r="B255" s="13" t="s">
        <v>117</v>
      </c>
      <c r="C255" s="14" t="s">
        <v>100</v>
      </c>
      <c r="D255" s="15">
        <v>1378</v>
      </c>
      <c r="E255" s="16">
        <v>45961</v>
      </c>
      <c r="F255" s="16">
        <v>46325</v>
      </c>
      <c r="G255" s="13">
        <v>12</v>
      </c>
      <c r="H255" s="17">
        <v>9240</v>
      </c>
      <c r="I255" s="18">
        <f t="shared" si="8"/>
        <v>6.7053701015965164</v>
      </c>
      <c r="J255" s="19">
        <v>1</v>
      </c>
      <c r="K255" s="20">
        <f t="shared" si="9"/>
        <v>8470</v>
      </c>
      <c r="L255" s="13" t="s">
        <v>4</v>
      </c>
      <c r="M255" s="21" t="s">
        <v>149</v>
      </c>
    </row>
    <row r="256" spans="1:13">
      <c r="A256" s="13">
        <v>850</v>
      </c>
      <c r="B256" s="13" t="s">
        <v>118</v>
      </c>
      <c r="C256" s="14" t="s">
        <v>14</v>
      </c>
      <c r="D256" s="15">
        <v>1213</v>
      </c>
      <c r="E256" s="16">
        <v>45716</v>
      </c>
      <c r="F256" s="16">
        <v>46261</v>
      </c>
      <c r="G256" s="13">
        <v>18</v>
      </c>
      <c r="H256" s="17">
        <v>7999</v>
      </c>
      <c r="I256" s="18">
        <f t="shared" si="8"/>
        <v>6.5943940643033798</v>
      </c>
      <c r="J256" s="19">
        <v>1</v>
      </c>
      <c r="K256" s="20">
        <f t="shared" si="9"/>
        <v>7554.6111111111113</v>
      </c>
      <c r="L256" s="13" t="s">
        <v>2</v>
      </c>
      <c r="M256" s="21" t="s">
        <v>149</v>
      </c>
    </row>
    <row r="257" spans="1:13">
      <c r="A257" s="13">
        <v>135</v>
      </c>
      <c r="B257" s="13" t="s">
        <v>119</v>
      </c>
      <c r="C257" s="14" t="s">
        <v>120</v>
      </c>
      <c r="D257" s="14">
        <v>1182</v>
      </c>
      <c r="E257" s="23">
        <v>45554</v>
      </c>
      <c r="F257" s="16">
        <v>45918</v>
      </c>
      <c r="G257" s="13">
        <v>12</v>
      </c>
      <c r="H257" s="17">
        <v>1766</v>
      </c>
      <c r="I257" s="18">
        <f t="shared" ref="I257:I290" si="10">H257/D257</f>
        <v>1.494077834179357</v>
      </c>
      <c r="J257" s="19">
        <v>0</v>
      </c>
      <c r="K257" s="20">
        <f t="shared" ref="K257:K290" si="11">H257*SUM(G257-J257)/G257</f>
        <v>1766</v>
      </c>
      <c r="L257" s="13" t="s">
        <v>7</v>
      </c>
      <c r="M257" s="21" t="s">
        <v>150</v>
      </c>
    </row>
    <row r="258" spans="1:13">
      <c r="A258" s="13">
        <v>324</v>
      </c>
      <c r="B258" s="16" t="s">
        <v>121</v>
      </c>
      <c r="C258" s="14" t="s">
        <v>122</v>
      </c>
      <c r="D258" s="15">
        <v>684</v>
      </c>
      <c r="E258" s="23">
        <v>45597</v>
      </c>
      <c r="F258" s="16">
        <v>45961</v>
      </c>
      <c r="G258" s="13">
        <v>12</v>
      </c>
      <c r="H258" s="17">
        <v>1559</v>
      </c>
      <c r="I258" s="18">
        <f t="shared" si="10"/>
        <v>2.2792397660818713</v>
      </c>
      <c r="J258" s="19">
        <v>0</v>
      </c>
      <c r="K258" s="20">
        <f t="shared" si="11"/>
        <v>1559</v>
      </c>
      <c r="L258" s="13" t="s">
        <v>7</v>
      </c>
      <c r="M258" s="21" t="s">
        <v>150</v>
      </c>
    </row>
    <row r="259" spans="1:13">
      <c r="A259" s="13">
        <v>303</v>
      </c>
      <c r="B259" s="13" t="s">
        <v>123</v>
      </c>
      <c r="C259" s="14" t="s">
        <v>124</v>
      </c>
      <c r="D259" s="14">
        <v>451</v>
      </c>
      <c r="E259" s="16">
        <v>45581</v>
      </c>
      <c r="F259" s="16">
        <v>45945</v>
      </c>
      <c r="G259" s="13">
        <v>12</v>
      </c>
      <c r="H259" s="17">
        <v>1430</v>
      </c>
      <c r="I259" s="18">
        <f t="shared" si="10"/>
        <v>3.1707317073170733</v>
      </c>
      <c r="J259" s="19">
        <v>0</v>
      </c>
      <c r="K259" s="20">
        <f t="shared" si="11"/>
        <v>1430</v>
      </c>
      <c r="L259" s="13" t="s">
        <v>7</v>
      </c>
      <c r="M259" s="21" t="s">
        <v>150</v>
      </c>
    </row>
    <row r="260" spans="1:13">
      <c r="A260" s="13">
        <v>431</v>
      </c>
      <c r="B260" s="13" t="s">
        <v>125</v>
      </c>
      <c r="C260" s="14" t="s">
        <v>124</v>
      </c>
      <c r="D260" s="14">
        <v>456</v>
      </c>
      <c r="E260" s="16">
        <v>45552</v>
      </c>
      <c r="F260" s="16">
        <v>45916</v>
      </c>
      <c r="G260" s="13">
        <v>12</v>
      </c>
      <c r="H260" s="17">
        <v>1330</v>
      </c>
      <c r="I260" s="18">
        <f t="shared" si="10"/>
        <v>2.9166666666666665</v>
      </c>
      <c r="J260" s="19">
        <v>0</v>
      </c>
      <c r="K260" s="20">
        <f t="shared" si="11"/>
        <v>1330</v>
      </c>
      <c r="L260" s="13" t="s">
        <v>7</v>
      </c>
      <c r="M260" s="21" t="s">
        <v>150</v>
      </c>
    </row>
    <row r="261" spans="1:13">
      <c r="A261" s="14">
        <v>231</v>
      </c>
      <c r="B261" s="13" t="s">
        <v>125</v>
      </c>
      <c r="C261" s="14" t="s">
        <v>124</v>
      </c>
      <c r="D261" s="14">
        <v>456</v>
      </c>
      <c r="E261" s="22">
        <v>45552</v>
      </c>
      <c r="F261" s="22">
        <v>45916</v>
      </c>
      <c r="G261" s="14">
        <v>12</v>
      </c>
      <c r="H261" s="24">
        <v>1330</v>
      </c>
      <c r="I261" s="18">
        <f t="shared" si="10"/>
        <v>2.9166666666666665</v>
      </c>
      <c r="J261" s="19">
        <v>0</v>
      </c>
      <c r="K261" s="20">
        <f t="shared" si="11"/>
        <v>1330</v>
      </c>
      <c r="L261" s="14" t="s">
        <v>7</v>
      </c>
      <c r="M261" s="21" t="s">
        <v>150</v>
      </c>
    </row>
    <row r="262" spans="1:13">
      <c r="A262" s="13">
        <v>228</v>
      </c>
      <c r="B262" s="13" t="s">
        <v>126</v>
      </c>
      <c r="C262" s="14" t="s">
        <v>124</v>
      </c>
      <c r="D262" s="14">
        <v>456</v>
      </c>
      <c r="E262" s="16">
        <v>45556</v>
      </c>
      <c r="F262" s="16">
        <v>45920</v>
      </c>
      <c r="G262" s="14">
        <v>12</v>
      </c>
      <c r="H262" s="17">
        <v>1330</v>
      </c>
      <c r="I262" s="18">
        <f t="shared" si="10"/>
        <v>2.9166666666666665</v>
      </c>
      <c r="J262" s="19">
        <v>0</v>
      </c>
      <c r="K262" s="20">
        <f t="shared" si="11"/>
        <v>1330</v>
      </c>
      <c r="L262" s="14" t="s">
        <v>7</v>
      </c>
      <c r="M262" s="21" t="s">
        <v>150</v>
      </c>
    </row>
    <row r="263" spans="1:13">
      <c r="A263" s="13">
        <v>433</v>
      </c>
      <c r="B263" s="16" t="s">
        <v>127</v>
      </c>
      <c r="C263" s="14" t="s">
        <v>124</v>
      </c>
      <c r="D263" s="14">
        <v>509</v>
      </c>
      <c r="E263" s="16">
        <v>45553</v>
      </c>
      <c r="F263" s="16">
        <v>45917</v>
      </c>
      <c r="G263" s="13">
        <v>12</v>
      </c>
      <c r="H263" s="17">
        <v>1330</v>
      </c>
      <c r="I263" s="18">
        <f t="shared" si="10"/>
        <v>2.612966601178782</v>
      </c>
      <c r="J263" s="19">
        <v>0</v>
      </c>
      <c r="K263" s="20">
        <f t="shared" si="11"/>
        <v>1330</v>
      </c>
      <c r="L263" s="14" t="s">
        <v>7</v>
      </c>
      <c r="M263" s="21" t="s">
        <v>150</v>
      </c>
    </row>
    <row r="264" spans="1:13">
      <c r="A264" s="13">
        <v>219</v>
      </c>
      <c r="B264" s="13" t="s">
        <v>126</v>
      </c>
      <c r="C264" s="14" t="s">
        <v>124</v>
      </c>
      <c r="D264" s="14">
        <v>456</v>
      </c>
      <c r="E264" s="16">
        <v>45581</v>
      </c>
      <c r="F264" s="16">
        <v>45945</v>
      </c>
      <c r="G264" s="13">
        <v>12</v>
      </c>
      <c r="H264" s="17">
        <v>1330</v>
      </c>
      <c r="I264" s="18">
        <f t="shared" si="10"/>
        <v>2.9166666666666665</v>
      </c>
      <c r="J264" s="19">
        <v>0</v>
      </c>
      <c r="K264" s="20">
        <f t="shared" si="11"/>
        <v>1330</v>
      </c>
      <c r="L264" s="13" t="s">
        <v>7</v>
      </c>
      <c r="M264" s="21" t="s">
        <v>150</v>
      </c>
    </row>
    <row r="265" spans="1:13">
      <c r="A265" s="13">
        <v>217</v>
      </c>
      <c r="B265" s="16" t="s">
        <v>126</v>
      </c>
      <c r="C265" s="14" t="s">
        <v>124</v>
      </c>
      <c r="D265" s="15">
        <v>456</v>
      </c>
      <c r="E265" s="16">
        <v>45584</v>
      </c>
      <c r="F265" s="16">
        <v>45948</v>
      </c>
      <c r="G265" s="13">
        <v>12</v>
      </c>
      <c r="H265" s="17">
        <v>1330</v>
      </c>
      <c r="I265" s="18">
        <f t="shared" si="10"/>
        <v>2.9166666666666665</v>
      </c>
      <c r="J265" s="19">
        <v>0</v>
      </c>
      <c r="K265" s="20">
        <f t="shared" si="11"/>
        <v>1330</v>
      </c>
      <c r="L265" s="13" t="s">
        <v>7</v>
      </c>
      <c r="M265" s="21" t="s">
        <v>150</v>
      </c>
    </row>
    <row r="266" spans="1:13">
      <c r="A266" s="13">
        <v>244</v>
      </c>
      <c r="B266" s="13" t="s">
        <v>128</v>
      </c>
      <c r="C266" s="14" t="s">
        <v>122</v>
      </c>
      <c r="D266" s="15">
        <v>701</v>
      </c>
      <c r="E266" s="16">
        <v>45583</v>
      </c>
      <c r="F266" s="16">
        <v>45947</v>
      </c>
      <c r="G266" s="13">
        <v>12</v>
      </c>
      <c r="H266" s="17">
        <v>1559</v>
      </c>
      <c r="I266" s="18">
        <f t="shared" si="10"/>
        <v>2.223965763195435</v>
      </c>
      <c r="J266" s="19">
        <v>0</v>
      </c>
      <c r="K266" s="20">
        <f t="shared" si="11"/>
        <v>1559</v>
      </c>
      <c r="L266" s="13" t="s">
        <v>7</v>
      </c>
      <c r="M266" s="21" t="s">
        <v>150</v>
      </c>
    </row>
    <row r="267" spans="1:13">
      <c r="A267" s="13">
        <v>307</v>
      </c>
      <c r="B267" s="13" t="s">
        <v>123</v>
      </c>
      <c r="C267" s="14" t="s">
        <v>124</v>
      </c>
      <c r="D267" s="15">
        <v>451</v>
      </c>
      <c r="E267" s="16">
        <v>45603</v>
      </c>
      <c r="F267" s="16">
        <v>45967</v>
      </c>
      <c r="G267" s="13">
        <v>12</v>
      </c>
      <c r="H267" s="17">
        <v>1330</v>
      </c>
      <c r="I267" s="18">
        <f t="shared" si="10"/>
        <v>2.9490022172949004</v>
      </c>
      <c r="J267" s="19">
        <v>0</v>
      </c>
      <c r="K267" s="20">
        <f t="shared" si="11"/>
        <v>1330</v>
      </c>
      <c r="L267" s="13" t="s">
        <v>7</v>
      </c>
      <c r="M267" s="21" t="s">
        <v>150</v>
      </c>
    </row>
    <row r="268" spans="1:13">
      <c r="A268" s="13">
        <v>317</v>
      </c>
      <c r="B268" s="16" t="s">
        <v>126</v>
      </c>
      <c r="C268" s="14" t="s">
        <v>124</v>
      </c>
      <c r="D268" s="14">
        <v>456</v>
      </c>
      <c r="E268" s="16">
        <v>45585</v>
      </c>
      <c r="F268" s="16">
        <v>45949</v>
      </c>
      <c r="G268" s="13">
        <v>12</v>
      </c>
      <c r="H268" s="17">
        <v>1330</v>
      </c>
      <c r="I268" s="18">
        <f t="shared" si="10"/>
        <v>2.9166666666666665</v>
      </c>
      <c r="J268" s="19">
        <v>0</v>
      </c>
      <c r="K268" s="20">
        <f t="shared" si="11"/>
        <v>1330</v>
      </c>
      <c r="L268" s="13" t="s">
        <v>7</v>
      </c>
      <c r="M268" s="21" t="s">
        <v>150</v>
      </c>
    </row>
    <row r="269" spans="1:13">
      <c r="A269" s="13">
        <v>319</v>
      </c>
      <c r="B269" s="13" t="s">
        <v>126</v>
      </c>
      <c r="C269" s="14" t="s">
        <v>124</v>
      </c>
      <c r="D269" s="14">
        <v>456</v>
      </c>
      <c r="E269" s="16">
        <v>45586</v>
      </c>
      <c r="F269" s="16">
        <v>45950</v>
      </c>
      <c r="G269" s="13">
        <v>12</v>
      </c>
      <c r="H269" s="17">
        <v>1330</v>
      </c>
      <c r="I269" s="18">
        <f t="shared" si="10"/>
        <v>2.9166666666666665</v>
      </c>
      <c r="J269" s="19">
        <v>0</v>
      </c>
      <c r="K269" s="20">
        <f t="shared" si="11"/>
        <v>1330</v>
      </c>
      <c r="L269" s="13" t="s">
        <v>7</v>
      </c>
      <c r="M269" s="21" t="s">
        <v>150</v>
      </c>
    </row>
    <row r="270" spans="1:13">
      <c r="A270" s="13">
        <v>144</v>
      </c>
      <c r="B270" s="13" t="s">
        <v>129</v>
      </c>
      <c r="C270" s="14" t="s">
        <v>122</v>
      </c>
      <c r="D270" s="15">
        <v>671</v>
      </c>
      <c r="E270" s="16">
        <v>45992</v>
      </c>
      <c r="F270" s="16" t="s">
        <v>130</v>
      </c>
      <c r="G270" s="13">
        <v>12</v>
      </c>
      <c r="H270" s="17">
        <v>1383</v>
      </c>
      <c r="I270" s="18">
        <f t="shared" si="10"/>
        <v>2.0611028315946349</v>
      </c>
      <c r="J270" s="19">
        <v>0</v>
      </c>
      <c r="K270" s="20">
        <f t="shared" si="11"/>
        <v>1383</v>
      </c>
      <c r="L270" s="13" t="s">
        <v>7</v>
      </c>
      <c r="M270" s="21" t="s">
        <v>150</v>
      </c>
    </row>
    <row r="271" spans="1:13">
      <c r="A271" s="13">
        <v>417</v>
      </c>
      <c r="B271" s="16" t="s">
        <v>131</v>
      </c>
      <c r="C271" s="14" t="s">
        <v>124</v>
      </c>
      <c r="D271" s="14">
        <v>452</v>
      </c>
      <c r="E271" s="16">
        <v>45584</v>
      </c>
      <c r="F271" s="16">
        <v>45948</v>
      </c>
      <c r="G271" s="13">
        <v>12</v>
      </c>
      <c r="H271" s="17">
        <v>1330</v>
      </c>
      <c r="I271" s="18">
        <f t="shared" si="10"/>
        <v>2.9424778761061945</v>
      </c>
      <c r="J271" s="19">
        <v>0</v>
      </c>
      <c r="K271" s="20">
        <f t="shared" si="11"/>
        <v>1330</v>
      </c>
      <c r="L271" s="13" t="s">
        <v>7</v>
      </c>
      <c r="M271" s="21" t="s">
        <v>150</v>
      </c>
    </row>
    <row r="272" spans="1:13">
      <c r="A272" s="13">
        <v>330</v>
      </c>
      <c r="B272" s="13" t="s">
        <v>131</v>
      </c>
      <c r="C272" s="14" t="s">
        <v>124</v>
      </c>
      <c r="D272" s="14">
        <v>452</v>
      </c>
      <c r="E272" s="16">
        <v>45556</v>
      </c>
      <c r="F272" s="16">
        <v>45920</v>
      </c>
      <c r="G272" s="13">
        <v>12</v>
      </c>
      <c r="H272" s="17">
        <v>1330</v>
      </c>
      <c r="I272" s="18">
        <f t="shared" si="10"/>
        <v>2.9424778761061945</v>
      </c>
      <c r="J272" s="19">
        <v>0</v>
      </c>
      <c r="K272" s="20">
        <f t="shared" si="11"/>
        <v>1330</v>
      </c>
      <c r="L272" s="13" t="s">
        <v>7</v>
      </c>
      <c r="M272" s="21" t="s">
        <v>150</v>
      </c>
    </row>
    <row r="273" spans="1:13">
      <c r="A273" s="13">
        <v>531</v>
      </c>
      <c r="B273" s="13" t="s">
        <v>125</v>
      </c>
      <c r="C273" s="14" t="s">
        <v>124</v>
      </c>
      <c r="D273" s="15">
        <v>456</v>
      </c>
      <c r="E273" s="16">
        <v>45560</v>
      </c>
      <c r="F273" s="16">
        <v>45924</v>
      </c>
      <c r="G273" s="13">
        <v>12</v>
      </c>
      <c r="H273" s="17">
        <v>1330</v>
      </c>
      <c r="I273" s="18">
        <f t="shared" si="10"/>
        <v>2.9166666666666665</v>
      </c>
      <c r="J273" s="19">
        <v>0</v>
      </c>
      <c r="K273" s="20">
        <f t="shared" si="11"/>
        <v>1330</v>
      </c>
      <c r="L273" s="13" t="s">
        <v>7</v>
      </c>
      <c r="M273" s="21" t="s">
        <v>150</v>
      </c>
    </row>
    <row r="274" spans="1:13">
      <c r="A274" s="13">
        <v>514</v>
      </c>
      <c r="B274" s="13" t="s">
        <v>132</v>
      </c>
      <c r="C274" s="14" t="s">
        <v>122</v>
      </c>
      <c r="D274" s="14">
        <v>677</v>
      </c>
      <c r="E274" s="16">
        <v>45597</v>
      </c>
      <c r="F274" s="16">
        <v>45961</v>
      </c>
      <c r="G274" s="13">
        <v>12</v>
      </c>
      <c r="H274" s="17">
        <v>1559</v>
      </c>
      <c r="I274" s="18">
        <f t="shared" si="10"/>
        <v>2.3028064992614476</v>
      </c>
      <c r="J274" s="19">
        <v>0</v>
      </c>
      <c r="K274" s="20">
        <f t="shared" si="11"/>
        <v>1559</v>
      </c>
      <c r="L274" s="13" t="s">
        <v>7</v>
      </c>
      <c r="M274" s="21" t="s">
        <v>150</v>
      </c>
    </row>
    <row r="275" spans="1:13">
      <c r="A275" s="13">
        <v>209</v>
      </c>
      <c r="B275" s="13" t="s">
        <v>133</v>
      </c>
      <c r="C275" s="14" t="s">
        <v>134</v>
      </c>
      <c r="D275" s="14">
        <v>785</v>
      </c>
      <c r="E275" s="16">
        <v>45582</v>
      </c>
      <c r="F275" s="16">
        <v>45946</v>
      </c>
      <c r="G275" s="13">
        <v>12</v>
      </c>
      <c r="H275" s="17">
        <v>1766</v>
      </c>
      <c r="I275" s="18">
        <f t="shared" si="10"/>
        <v>2.2496815286624203</v>
      </c>
      <c r="J275" s="19">
        <v>0</v>
      </c>
      <c r="K275" s="20">
        <f t="shared" si="11"/>
        <v>1766</v>
      </c>
      <c r="L275" s="13" t="s">
        <v>7</v>
      </c>
      <c r="M275" s="21" t="s">
        <v>150</v>
      </c>
    </row>
    <row r="276" spans="1:13">
      <c r="A276" s="13">
        <v>517</v>
      </c>
      <c r="B276" s="13" t="s">
        <v>131</v>
      </c>
      <c r="C276" s="14" t="s">
        <v>124</v>
      </c>
      <c r="D276" s="14">
        <v>452</v>
      </c>
      <c r="E276" s="16">
        <v>45590</v>
      </c>
      <c r="F276" s="16">
        <v>45954</v>
      </c>
      <c r="G276" s="13">
        <v>12</v>
      </c>
      <c r="H276" s="17">
        <v>1330</v>
      </c>
      <c r="I276" s="18">
        <f t="shared" si="10"/>
        <v>2.9424778761061945</v>
      </c>
      <c r="J276" s="19">
        <v>0</v>
      </c>
      <c r="K276" s="20">
        <f t="shared" si="11"/>
        <v>1330</v>
      </c>
      <c r="L276" s="13" t="s">
        <v>7</v>
      </c>
      <c r="M276" s="21" t="s">
        <v>150</v>
      </c>
    </row>
    <row r="277" spans="1:13">
      <c r="A277" s="13">
        <v>356</v>
      </c>
      <c r="B277" s="13" t="s">
        <v>135</v>
      </c>
      <c r="C277" s="14" t="s">
        <v>134</v>
      </c>
      <c r="D277" s="14">
        <v>982</v>
      </c>
      <c r="E277" s="16">
        <v>45591</v>
      </c>
      <c r="F277" s="16">
        <v>45955</v>
      </c>
      <c r="G277" s="13">
        <v>12</v>
      </c>
      <c r="H277" s="17">
        <v>1766</v>
      </c>
      <c r="I277" s="18">
        <f t="shared" si="10"/>
        <v>1.7983706720977597</v>
      </c>
      <c r="J277" s="19">
        <v>0</v>
      </c>
      <c r="K277" s="20">
        <f t="shared" si="11"/>
        <v>1766</v>
      </c>
      <c r="L277" s="13" t="s">
        <v>7</v>
      </c>
      <c r="M277" s="21" t="s">
        <v>150</v>
      </c>
    </row>
    <row r="278" spans="1:13">
      <c r="A278" s="13">
        <v>251</v>
      </c>
      <c r="B278" s="13" t="s">
        <v>136</v>
      </c>
      <c r="C278" s="14" t="s">
        <v>134</v>
      </c>
      <c r="D278" s="14">
        <v>1209</v>
      </c>
      <c r="E278" s="16">
        <v>45597</v>
      </c>
      <c r="F278" s="16">
        <v>45961</v>
      </c>
      <c r="G278" s="13">
        <v>12</v>
      </c>
      <c r="H278" s="17">
        <v>1559</v>
      </c>
      <c r="I278" s="18">
        <f t="shared" si="10"/>
        <v>1.2894954507857734</v>
      </c>
      <c r="J278" s="19">
        <v>0</v>
      </c>
      <c r="K278" s="20">
        <f t="shared" si="11"/>
        <v>1559</v>
      </c>
      <c r="L278" s="13" t="s">
        <v>7</v>
      </c>
      <c r="M278" s="21" t="s">
        <v>150</v>
      </c>
    </row>
    <row r="279" spans="1:13">
      <c r="A279" s="13">
        <v>421</v>
      </c>
      <c r="B279" s="13" t="s">
        <v>137</v>
      </c>
      <c r="C279" s="14" t="s">
        <v>122</v>
      </c>
      <c r="D279" s="14">
        <v>684</v>
      </c>
      <c r="E279" s="16">
        <v>45588</v>
      </c>
      <c r="F279" s="16">
        <v>45952</v>
      </c>
      <c r="G279" s="13">
        <v>12</v>
      </c>
      <c r="H279" s="17">
        <v>1559</v>
      </c>
      <c r="I279" s="18">
        <f t="shared" si="10"/>
        <v>2.2792397660818713</v>
      </c>
      <c r="J279" s="19">
        <v>0</v>
      </c>
      <c r="K279" s="20">
        <f t="shared" si="11"/>
        <v>1559</v>
      </c>
      <c r="L279" s="13" t="s">
        <v>7</v>
      </c>
      <c r="M279" s="21" t="s">
        <v>150</v>
      </c>
    </row>
    <row r="280" spans="1:13">
      <c r="A280" s="13">
        <v>351</v>
      </c>
      <c r="B280" s="13" t="s">
        <v>138</v>
      </c>
      <c r="C280" s="14" t="s">
        <v>120</v>
      </c>
      <c r="D280" s="14">
        <v>1209</v>
      </c>
      <c r="E280" s="16">
        <v>45689</v>
      </c>
      <c r="F280" s="16">
        <v>45688</v>
      </c>
      <c r="G280" s="13">
        <v>12</v>
      </c>
      <c r="H280" s="17">
        <v>1766</v>
      </c>
      <c r="I280" s="18">
        <f t="shared" si="10"/>
        <v>1.4607113316790736</v>
      </c>
      <c r="J280" s="19">
        <v>0</v>
      </c>
      <c r="K280" s="20">
        <f t="shared" si="11"/>
        <v>1766</v>
      </c>
      <c r="L280" s="13" t="s">
        <v>7</v>
      </c>
      <c r="M280" s="21" t="s">
        <v>150</v>
      </c>
    </row>
    <row r="281" spans="1:13">
      <c r="A281" s="13">
        <v>509</v>
      </c>
      <c r="B281" s="13" t="s">
        <v>139</v>
      </c>
      <c r="C281" s="14" t="s">
        <v>134</v>
      </c>
      <c r="D281" s="14">
        <v>858</v>
      </c>
      <c r="E281" s="16">
        <v>45582</v>
      </c>
      <c r="F281" s="16">
        <v>45946</v>
      </c>
      <c r="G281" s="13">
        <v>12</v>
      </c>
      <c r="H281" s="17">
        <v>1766</v>
      </c>
      <c r="I281" s="18">
        <f t="shared" si="10"/>
        <v>2.0582750582750582</v>
      </c>
      <c r="J281" s="19">
        <v>0</v>
      </c>
      <c r="K281" s="20">
        <f t="shared" si="11"/>
        <v>1766</v>
      </c>
      <c r="L281" s="13" t="s">
        <v>7</v>
      </c>
      <c r="M281" s="21" t="s">
        <v>150</v>
      </c>
    </row>
    <row r="282" spans="1:13">
      <c r="A282" s="13">
        <v>410</v>
      </c>
      <c r="B282" s="13" t="s">
        <v>140</v>
      </c>
      <c r="C282" s="14" t="s">
        <v>134</v>
      </c>
      <c r="D282" s="14">
        <v>858</v>
      </c>
      <c r="E282" s="16">
        <v>45580</v>
      </c>
      <c r="F282" s="16">
        <v>45944</v>
      </c>
      <c r="G282" s="13">
        <v>12</v>
      </c>
      <c r="H282" s="17">
        <v>1766</v>
      </c>
      <c r="I282" s="18">
        <f t="shared" si="10"/>
        <v>2.0582750582750582</v>
      </c>
      <c r="J282" s="19">
        <v>0</v>
      </c>
      <c r="K282" s="20">
        <f t="shared" si="11"/>
        <v>1766</v>
      </c>
      <c r="L282" s="13" t="s">
        <v>7</v>
      </c>
      <c r="M282" s="21" t="s">
        <v>150</v>
      </c>
    </row>
    <row r="283" spans="1:13">
      <c r="A283" s="13">
        <v>455</v>
      </c>
      <c r="B283" s="13" t="s">
        <v>141</v>
      </c>
      <c r="C283" s="14" t="s">
        <v>122</v>
      </c>
      <c r="D283" s="14">
        <v>599</v>
      </c>
      <c r="E283" s="16">
        <v>45580</v>
      </c>
      <c r="F283" s="16">
        <v>45944</v>
      </c>
      <c r="G283" s="13">
        <v>12</v>
      </c>
      <c r="H283" s="17">
        <v>1766</v>
      </c>
      <c r="I283" s="18">
        <f t="shared" si="10"/>
        <v>2.9482470784641071</v>
      </c>
      <c r="J283" s="19">
        <v>0</v>
      </c>
      <c r="K283" s="20">
        <f t="shared" si="11"/>
        <v>1766</v>
      </c>
      <c r="L283" s="13" t="s">
        <v>7</v>
      </c>
      <c r="M283" s="21" t="s">
        <v>150</v>
      </c>
    </row>
    <row r="284" spans="1:13">
      <c r="A284" s="13">
        <v>201</v>
      </c>
      <c r="B284" s="13" t="s">
        <v>142</v>
      </c>
      <c r="C284" s="14" t="s">
        <v>143</v>
      </c>
      <c r="D284" s="14">
        <v>1314</v>
      </c>
      <c r="E284" s="16">
        <v>45625</v>
      </c>
      <c r="F284" s="16">
        <v>45958</v>
      </c>
      <c r="G284" s="13">
        <v>11</v>
      </c>
      <c r="H284" s="17">
        <v>1978</v>
      </c>
      <c r="I284" s="18">
        <f t="shared" si="10"/>
        <v>1.5053272450532724</v>
      </c>
      <c r="J284" s="19">
        <v>0</v>
      </c>
      <c r="K284" s="20">
        <f t="shared" si="11"/>
        <v>1978</v>
      </c>
      <c r="L284" s="13" t="s">
        <v>7</v>
      </c>
      <c r="M284" s="21" t="s">
        <v>150</v>
      </c>
    </row>
    <row r="285" spans="1:13">
      <c r="A285" s="13">
        <v>212</v>
      </c>
      <c r="B285" s="13" t="s">
        <v>144</v>
      </c>
      <c r="C285" s="14" t="s">
        <v>134</v>
      </c>
      <c r="D285" s="14">
        <v>948</v>
      </c>
      <c r="E285" s="16">
        <v>45583</v>
      </c>
      <c r="F285" s="16">
        <v>45947</v>
      </c>
      <c r="G285" s="13">
        <v>12</v>
      </c>
      <c r="H285" s="17">
        <v>1766</v>
      </c>
      <c r="I285" s="18">
        <f t="shared" si="10"/>
        <v>1.8628691983122363</v>
      </c>
      <c r="J285" s="19">
        <v>0</v>
      </c>
      <c r="K285" s="20">
        <f t="shared" si="11"/>
        <v>1766</v>
      </c>
      <c r="L285" s="13" t="s">
        <v>7</v>
      </c>
      <c r="M285" s="21" t="s">
        <v>150</v>
      </c>
    </row>
    <row r="286" spans="1:13">
      <c r="A286" s="13">
        <v>322</v>
      </c>
      <c r="B286" s="13" t="s">
        <v>145</v>
      </c>
      <c r="C286" s="14" t="s">
        <v>122</v>
      </c>
      <c r="D286" s="14">
        <v>684</v>
      </c>
      <c r="E286" s="16">
        <v>45587</v>
      </c>
      <c r="F286" s="16">
        <v>45951</v>
      </c>
      <c r="G286" s="13">
        <v>12</v>
      </c>
      <c r="H286" s="17">
        <v>1599</v>
      </c>
      <c r="I286" s="18">
        <f t="shared" si="10"/>
        <v>2.3377192982456139</v>
      </c>
      <c r="J286" s="19">
        <v>0</v>
      </c>
      <c r="K286" s="20">
        <f t="shared" si="11"/>
        <v>1599</v>
      </c>
      <c r="L286" s="13" t="s">
        <v>10</v>
      </c>
      <c r="M286" s="21" t="s">
        <v>150</v>
      </c>
    </row>
    <row r="287" spans="1:13">
      <c r="A287" s="13">
        <v>221</v>
      </c>
      <c r="B287" s="13" t="s">
        <v>137</v>
      </c>
      <c r="C287" s="14" t="s">
        <v>122</v>
      </c>
      <c r="D287" s="14">
        <v>684</v>
      </c>
      <c r="E287" s="16">
        <v>45633</v>
      </c>
      <c r="F287" s="16">
        <v>45997</v>
      </c>
      <c r="G287" s="13">
        <v>12</v>
      </c>
      <c r="H287" s="17">
        <v>1559</v>
      </c>
      <c r="I287" s="18">
        <f t="shared" si="10"/>
        <v>2.2792397660818713</v>
      </c>
      <c r="J287" s="19">
        <v>0</v>
      </c>
      <c r="K287" s="20">
        <f t="shared" si="11"/>
        <v>1559</v>
      </c>
      <c r="L287" s="13" t="s">
        <v>10</v>
      </c>
      <c r="M287" s="21" t="s">
        <v>150</v>
      </c>
    </row>
    <row r="288" spans="1:13">
      <c r="A288" s="13">
        <v>453</v>
      </c>
      <c r="B288" s="13" t="s">
        <v>146</v>
      </c>
      <c r="C288" s="14" t="s">
        <v>122</v>
      </c>
      <c r="D288" s="14">
        <v>591</v>
      </c>
      <c r="E288" s="16">
        <v>45589</v>
      </c>
      <c r="F288" s="16">
        <v>45953</v>
      </c>
      <c r="G288" s="13">
        <v>12</v>
      </c>
      <c r="H288" s="17">
        <v>1559</v>
      </c>
      <c r="I288" s="18">
        <f t="shared" si="10"/>
        <v>2.6379018612521152</v>
      </c>
      <c r="J288" s="19">
        <v>0</v>
      </c>
      <c r="K288" s="20">
        <f t="shared" si="11"/>
        <v>1559</v>
      </c>
      <c r="L288" s="13" t="s">
        <v>10</v>
      </c>
      <c r="M288" s="21" t="s">
        <v>150</v>
      </c>
    </row>
    <row r="289" spans="1:13">
      <c r="A289" s="13">
        <v>224</v>
      </c>
      <c r="B289" s="13" t="s">
        <v>147</v>
      </c>
      <c r="C289" s="14" t="s">
        <v>122</v>
      </c>
      <c r="D289" s="14">
        <v>684</v>
      </c>
      <c r="E289" s="16">
        <v>45566</v>
      </c>
      <c r="F289" s="16">
        <v>45930</v>
      </c>
      <c r="G289" s="13">
        <v>12</v>
      </c>
      <c r="H289" s="17">
        <v>1559</v>
      </c>
      <c r="I289" s="18">
        <f t="shared" si="10"/>
        <v>2.2792397660818713</v>
      </c>
      <c r="J289" s="19">
        <v>0</v>
      </c>
      <c r="K289" s="20">
        <f t="shared" si="11"/>
        <v>1559</v>
      </c>
      <c r="L289" s="13" t="s">
        <v>7</v>
      </c>
      <c r="M289" s="21" t="s">
        <v>150</v>
      </c>
    </row>
    <row r="290" spans="1:13">
      <c r="A290" s="13">
        <v>423</v>
      </c>
      <c r="B290" s="13" t="s">
        <v>148</v>
      </c>
      <c r="C290" s="14" t="s">
        <v>122</v>
      </c>
      <c r="D290" s="14">
        <v>684</v>
      </c>
      <c r="E290" s="16">
        <v>45627</v>
      </c>
      <c r="F290" s="16">
        <v>45991</v>
      </c>
      <c r="G290" s="13">
        <v>12</v>
      </c>
      <c r="H290" s="17">
        <v>1559</v>
      </c>
      <c r="I290" s="18">
        <f t="shared" si="10"/>
        <v>2.2792397660818713</v>
      </c>
      <c r="J290" s="19">
        <v>0</v>
      </c>
      <c r="K290" s="20">
        <f t="shared" si="11"/>
        <v>1559</v>
      </c>
      <c r="L290" s="13" t="s">
        <v>7</v>
      </c>
      <c r="M290" s="21" t="s">
        <v>150</v>
      </c>
    </row>
  </sheetData>
  <conditionalFormatting sqref="A1:L256">
    <cfRule type="containsErrors" dxfId="3" priority="4" stopIfTrue="1">
      <formula>ISERROR(A1)</formula>
    </cfRule>
  </conditionalFormatting>
  <conditionalFormatting sqref="A264:L290">
    <cfRule type="containsErrors" dxfId="2" priority="3" stopIfTrue="1">
      <formula>ISERROR(A264)</formula>
    </cfRule>
  </conditionalFormatting>
  <conditionalFormatting sqref="A257:L261 A262:F262 H262">
    <cfRule type="containsErrors" dxfId="1" priority="2" stopIfTrue="1">
      <formula>ISERROR(A257)</formula>
    </cfRule>
  </conditionalFormatting>
  <conditionalFormatting sqref="I262:L263 B263:C263 E263:F263">
    <cfRule type="containsErrors" dxfId="0" priority="1" stopIfTrue="1">
      <formula>ISERROR(B262)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Verma</dc:creator>
  <cp:lastModifiedBy>Avinash Verma</cp:lastModifiedBy>
  <dcterms:created xsi:type="dcterms:W3CDTF">2026-03-11T13:47:42Z</dcterms:created>
  <dcterms:modified xsi:type="dcterms:W3CDTF">2026-03-11T14:23:32Z</dcterms:modified>
</cp:coreProperties>
</file>